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CD8211FA-883F-4A70-9ED8-290E65C321E0}" xr6:coauthVersionLast="47" xr6:coauthVersionMax="47" xr10:uidLastSave="{00000000-0000-0000-0000-000000000000}"/>
  <bookViews>
    <workbookView xWindow="165" yWindow="1035" windowWidth="21600" windowHeight="11295" xr2:uid="{9ACDD045-83F5-4DD7-A68A-560355ABCA24}"/>
  </bookViews>
  <sheets>
    <sheet name="Task Data" sheetId="2" r:id="rId1"/>
    <sheet name="SME GWA Task Matrix" sheetId="11" r:id="rId2"/>
    <sheet name="GWA_Scores" sheetId="9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C4" i="11"/>
  <c r="AC5" i="11"/>
  <c r="AC6" i="11"/>
  <c r="AC7" i="11"/>
  <c r="AC8" i="11"/>
  <c r="AC9" i="11"/>
  <c r="AC10" i="11" a="1"/>
  <c r="AC11" i="11"/>
  <c r="AC12" i="11"/>
  <c r="AC13" i="11"/>
  <c r="AC14" i="11"/>
  <c r="AC15" i="11"/>
  <c r="AC16" i="11"/>
  <c r="AC17" i="11"/>
  <c r="AC18" i="11"/>
  <c r="AC19" i="11"/>
  <c r="AC20" i="11" a="1"/>
  <c r="AC21" i="11"/>
  <c r="AC22" i="11"/>
  <c r="AC23" i="11"/>
  <c r="AC24" i="11"/>
  <c r="AC25" i="11"/>
  <c r="AC26" i="11"/>
  <c r="AC27" i="11"/>
  <c r="AC28" i="11"/>
  <c r="AC29" i="11"/>
  <c r="AC30" i="11" a="1"/>
  <c r="AC31" i="11"/>
  <c r="AC32" i="11"/>
  <c r="AC33" i="11"/>
  <c r="AC34" i="11"/>
  <c r="AC35" i="11"/>
  <c r="AC36" i="11"/>
  <c r="AC37" i="11"/>
  <c r="AC38" i="11"/>
  <c r="AC39" i="11"/>
  <c r="AC40" i="11" a="1"/>
  <c r="AC41" i="11"/>
  <c r="AC42" i="11"/>
  <c r="AC43" i="11"/>
  <c r="AC44" i="11"/>
  <c r="AC45" i="11"/>
  <c r="AC46" i="11"/>
  <c r="AC47" i="11"/>
  <c r="AC48" i="11"/>
  <c r="AC49" i="11"/>
  <c r="AC50" i="11" a="1"/>
  <c r="AC51" i="11"/>
  <c r="AC52" i="11"/>
  <c r="AC53" i="11"/>
  <c r="AC54" i="11"/>
  <c r="AC55" i="11"/>
  <c r="AC56" i="11"/>
  <c r="AC57" i="11"/>
  <c r="AC58" i="11"/>
  <c r="AC59" i="11"/>
  <c r="AC60" i="11" a="1"/>
  <c r="AC61" i="11"/>
  <c r="AC62" i="11"/>
  <c r="AC63" i="11"/>
  <c r="AC64" i="11"/>
  <c r="AC65" i="11"/>
  <c r="AC66" i="11"/>
  <c r="AC67" i="11"/>
  <c r="AC68" i="11"/>
  <c r="AC69" i="11"/>
  <c r="AC70" i="11" a="1"/>
  <c r="AC71" i="11"/>
  <c r="AC72" i="11"/>
  <c r="AC73" i="11"/>
  <c r="AC74" i="11"/>
  <c r="AC75" i="11"/>
  <c r="AC76" i="11"/>
  <c r="AC77" i="11"/>
  <c r="AC78" i="11"/>
  <c r="AC79" i="11"/>
  <c r="AC80" i="11" a="1"/>
  <c r="AC81" i="11"/>
  <c r="AC82" i="11"/>
  <c r="AC83" i="11"/>
  <c r="AC84" i="11"/>
  <c r="AC85" i="11"/>
  <c r="AC86" i="11"/>
  <c r="AC87" i="11"/>
  <c r="AC88" i="11"/>
  <c r="AC89" i="11"/>
  <c r="AC90" i="11" a="1"/>
  <c r="AC91" i="11"/>
  <c r="AC92" i="11"/>
  <c r="AC93" i="11"/>
  <c r="AC94" i="11"/>
  <c r="AC95" i="11"/>
  <c r="AC96" i="11"/>
  <c r="AC97" i="11"/>
  <c r="AC98" i="11"/>
  <c r="AC99" i="11"/>
  <c r="AC100" i="11" a="1"/>
  <c r="AC101" i="11" a="1"/>
  <c r="AC102" i="11" a="1"/>
  <c r="AC103" i="11" a="1"/>
  <c r="AC104" i="11" a="1"/>
  <c r="AC105" i="11" a="1"/>
  <c r="AC106" i="11" a="1"/>
  <c r="AC107" i="11" a="1"/>
  <c r="AC108" i="11" a="1"/>
  <c r="AC109" i="11" a="1"/>
  <c r="AC110" i="11" a="1"/>
  <c r="AC111" i="11"/>
  <c r="AC112" i="11"/>
  <c r="AC113" i="11"/>
  <c r="AC114" i="11"/>
  <c r="AC115" i="11"/>
  <c r="AC116" i="11"/>
  <c r="AC117" i="11"/>
  <c r="AC118" i="11"/>
  <c r="AC119" i="11"/>
  <c r="AC120" i="11" a="1"/>
  <c r="AC121" i="11"/>
  <c r="AC122" i="11"/>
  <c r="AC123" i="11"/>
  <c r="AC124" i="11"/>
  <c r="AC125" i="11"/>
  <c r="AC126" i="11"/>
  <c r="AC127" i="11"/>
  <c r="AC128" i="11"/>
  <c r="AC129" i="11"/>
  <c r="AC130" i="11" a="1"/>
  <c r="AC131" i="11"/>
  <c r="AC132" i="11"/>
  <c r="AC133" i="11"/>
  <c r="AC134" i="11"/>
  <c r="AC135" i="11"/>
  <c r="AC136" i="11"/>
  <c r="AC137" i="11"/>
  <c r="AC138" i="11"/>
  <c r="AC139" i="11"/>
  <c r="AC140" i="11" a="1"/>
  <c r="AC141" i="11"/>
  <c r="AC142" i="11"/>
  <c r="AC143" i="11"/>
  <c r="AC144" i="11"/>
  <c r="AC145" i="11"/>
  <c r="AC146" i="11"/>
  <c r="AC147" i="11"/>
  <c r="AC148" i="11"/>
  <c r="AC149" i="11"/>
  <c r="AC150" i="11" a="1"/>
  <c r="AC151" i="11"/>
  <c r="AC152" i="11"/>
  <c r="AC153" i="11"/>
  <c r="AC154" i="11"/>
  <c r="AC155" i="11"/>
  <c r="AC156" i="11"/>
  <c r="AC157" i="11"/>
  <c r="AC158" i="11"/>
  <c r="AC159" i="11"/>
  <c r="AC160" i="11" a="1"/>
  <c r="AC161" i="11"/>
  <c r="AC162" i="11"/>
  <c r="AC163" i="11"/>
  <c r="AC164" i="11"/>
  <c r="AC165" i="11"/>
  <c r="AC166" i="11"/>
  <c r="AC167" i="11"/>
  <c r="AC168" i="11"/>
  <c r="AC169" i="11"/>
  <c r="AC170" i="11" a="1"/>
  <c r="AC171" i="11"/>
  <c r="AC172" i="11"/>
  <c r="AC173" i="11"/>
  <c r="AC174" i="11"/>
  <c r="AC175" i="11"/>
  <c r="AC176" i="11"/>
  <c r="AC177" i="11"/>
  <c r="AC178" i="11"/>
  <c r="AC179" i="11"/>
  <c r="AC180" i="11" a="1"/>
  <c r="AC181" i="11"/>
  <c r="AC182" i="11"/>
  <c r="AC183" i="11"/>
  <c r="AC184" i="11"/>
  <c r="AC185" i="11"/>
  <c r="AC186" i="11"/>
  <c r="AC187" i="11"/>
  <c r="AC188" i="11"/>
  <c r="AC189" i="11"/>
  <c r="AC190" i="11" a="1"/>
  <c r="AC191" i="11"/>
  <c r="AC192" i="11"/>
  <c r="AC193" i="11"/>
  <c r="AC194" i="11"/>
  <c r="AC195" i="11"/>
  <c r="AC196" i="11"/>
  <c r="AC197" i="11"/>
  <c r="AC198" i="11"/>
  <c r="AC199" i="11"/>
  <c r="AC200" i="11" a="1"/>
  <c r="AC201" i="11" a="1"/>
  <c r="AC202" i="11" a="1"/>
  <c r="AC203" i="11" a="1"/>
  <c r="AC204" i="11" a="1"/>
  <c r="AC205" i="11" a="1"/>
  <c r="AC206" i="11" a="1"/>
  <c r="AC207" i="11" a="1"/>
  <c r="AC208" i="11" a="1"/>
  <c r="AC209" i="11" a="1"/>
  <c r="AC210" i="11" a="1"/>
  <c r="AC211" i="11"/>
  <c r="AC212" i="11"/>
  <c r="AC213" i="11"/>
  <c r="AC214" i="11"/>
  <c r="AC215" i="11"/>
  <c r="AC216" i="11"/>
  <c r="AC217" i="11"/>
  <c r="AC218" i="11"/>
  <c r="AC219" i="11"/>
  <c r="AC220" i="11" a="1"/>
  <c r="AC221" i="11"/>
  <c r="AC222" i="11"/>
  <c r="AC223" i="11"/>
  <c r="AC224" i="11"/>
  <c r="AC225" i="11"/>
  <c r="AC226" i="11"/>
  <c r="AC227" i="11"/>
  <c r="AC228" i="11"/>
  <c r="AC229" i="11"/>
  <c r="AC230" i="11" a="1"/>
  <c r="AC231" i="11"/>
  <c r="AC232" i="11"/>
  <c r="AC233" i="11"/>
  <c r="AC234" i="11"/>
  <c r="AC235" i="11"/>
  <c r="AC236" i="11"/>
  <c r="AC237" i="11"/>
  <c r="AC238" i="11"/>
  <c r="AC239" i="11"/>
  <c r="AC240" i="11" a="1"/>
  <c r="AC241" i="11"/>
  <c r="AC242" i="11"/>
  <c r="AC243" i="11"/>
  <c r="AC244" i="11"/>
  <c r="AC245" i="11"/>
  <c r="AC246" i="11"/>
  <c r="AC247" i="11"/>
  <c r="AC248" i="11"/>
  <c r="AC249" i="11"/>
  <c r="AC250" i="11" a="1"/>
  <c r="AC251" i="11"/>
  <c r="AC252" i="11"/>
  <c r="AC253" i="11"/>
  <c r="AC254" i="11"/>
  <c r="AC255" i="11"/>
  <c r="AC256" i="11"/>
  <c r="AC257" i="11"/>
  <c r="AC258" i="11"/>
  <c r="AC259" i="11"/>
  <c r="AC260" i="11" a="1"/>
  <c r="AC261" i="11"/>
  <c r="AC262" i="11"/>
  <c r="AC263" i="11"/>
  <c r="AC264" i="11"/>
  <c r="AC265" i="11"/>
  <c r="AC266" i="11"/>
  <c r="AC267" i="11"/>
  <c r="AC268" i="11"/>
  <c r="AC269" i="11"/>
  <c r="AC270" i="11" a="1"/>
  <c r="AC272" i="11"/>
  <c r="AC273" i="11"/>
  <c r="AC274" i="11"/>
  <c r="AC275" i="11"/>
  <c r="AC276" i="11"/>
  <c r="AC277" i="11"/>
  <c r="AC278" i="11"/>
  <c r="AC279" i="11"/>
  <c r="AC280" i="11" a="1"/>
  <c r="AC281" i="11"/>
  <c r="AC282" i="11"/>
  <c r="AC283" i="11"/>
  <c r="AC284" i="11"/>
  <c r="AC285" i="11"/>
  <c r="AC286" i="11"/>
  <c r="AC287" i="11"/>
  <c r="AC288" i="11"/>
  <c r="AC289" i="11"/>
  <c r="AC290" i="11" a="1"/>
  <c r="AC291" i="11"/>
  <c r="AC292" i="11"/>
  <c r="AC293" i="11"/>
  <c r="AC294" i="11"/>
  <c r="AC295" i="11"/>
  <c r="AC296" i="11"/>
  <c r="AC297" i="11"/>
  <c r="AC298" i="11"/>
  <c r="AC299" i="11"/>
  <c r="AC300" i="11" a="1"/>
  <c r="AC301" i="11" a="1"/>
  <c r="AC302" i="11" a="1"/>
  <c r="AC303" i="11" a="1"/>
  <c r="AC304" i="11" a="1"/>
  <c r="AC305" i="11" a="1"/>
  <c r="AC306" i="11" a="1"/>
  <c r="AC307" i="11" a="1"/>
  <c r="AC308" i="11" a="1"/>
  <c r="AC309" i="11" a="1"/>
  <c r="AC310" i="11" a="1"/>
  <c r="AC311" i="11"/>
  <c r="AC312" i="11"/>
  <c r="AC313" i="11"/>
  <c r="AC314" i="11"/>
  <c r="AC315" i="11"/>
  <c r="AC316" i="11"/>
  <c r="AC317" i="11"/>
  <c r="AC318" i="11"/>
  <c r="AC319" i="11"/>
  <c r="AC320" i="11" a="1"/>
  <c r="AC321" i="11"/>
  <c r="AC322" i="11"/>
  <c r="AC323" i="11"/>
  <c r="AC324" i="11"/>
  <c r="AC325" i="11"/>
  <c r="AC326" i="11"/>
  <c r="AC327" i="11"/>
  <c r="AC328" i="11"/>
  <c r="AC329" i="11"/>
  <c r="AC330" i="11" a="1"/>
  <c r="AC331" i="11"/>
  <c r="AC332" i="11"/>
  <c r="AC333" i="11"/>
  <c r="AC334" i="11"/>
  <c r="AC335" i="11"/>
  <c r="AC336" i="11"/>
  <c r="AC337" i="11"/>
  <c r="AC338" i="11"/>
  <c r="AC339" i="11"/>
  <c r="AC340" i="11" a="1"/>
  <c r="AC341" i="11"/>
  <c r="AC342" i="11"/>
  <c r="AC343" i="11"/>
  <c r="AC344" i="11"/>
  <c r="AC345" i="11"/>
  <c r="AC346" i="11"/>
  <c r="AC347" i="11"/>
  <c r="AC348" i="11"/>
  <c r="AC349" i="11"/>
  <c r="AC350" i="11" a="1"/>
  <c r="AC351" i="11"/>
  <c r="AC352" i="11"/>
  <c r="AC353" i="11"/>
  <c r="AC354" i="11"/>
  <c r="AC355" i="11"/>
  <c r="AC356" i="11"/>
  <c r="AC357" i="11"/>
  <c r="AC358" i="11"/>
  <c r="AC359" i="11"/>
  <c r="AC360" i="11" a="1"/>
  <c r="AC361" i="11"/>
  <c r="AC362" i="11"/>
  <c r="AC363" i="11"/>
  <c r="AC364" i="11"/>
  <c r="AC365" i="11"/>
  <c r="AC366" i="11"/>
  <c r="AC367" i="11"/>
  <c r="AC368" i="11"/>
  <c r="AC369" i="11"/>
  <c r="AC370" i="11" a="1"/>
  <c r="AC371" i="11"/>
  <c r="AC372" i="11"/>
  <c r="AC373" i="11"/>
  <c r="AC374" i="11"/>
  <c r="AC375" i="11"/>
  <c r="AC376" i="11"/>
  <c r="AC377" i="11"/>
  <c r="AC378" i="11"/>
  <c r="AC379" i="11"/>
  <c r="AC380" i="11" a="1"/>
  <c r="AC381" i="11"/>
  <c r="AC382" i="11"/>
  <c r="AC383" i="11"/>
  <c r="AC384" i="11"/>
  <c r="AC385" i="11"/>
  <c r="AC386" i="11"/>
  <c r="AC387" i="11"/>
  <c r="AC388" i="11"/>
  <c r="AC389" i="11"/>
  <c r="AC390" i="11" a="1"/>
  <c r="AC391" i="11"/>
  <c r="AC392" i="11"/>
  <c r="AC393" i="11"/>
  <c r="AC394" i="11"/>
  <c r="AC395" i="11"/>
  <c r="AC396" i="11"/>
  <c r="AC397" i="11"/>
  <c r="AC398" i="11"/>
  <c r="AC399" i="11"/>
  <c r="AC400" i="11" a="1"/>
  <c r="AC401" i="11" a="1"/>
  <c r="AC402" i="11" a="1"/>
  <c r="AC403" i="11" a="1"/>
  <c r="AC404" i="11" a="1"/>
  <c r="AC405" i="11" a="1"/>
  <c r="AC406" i="11" a="1"/>
  <c r="AC407" i="11" a="1"/>
  <c r="AC408" i="11" a="1"/>
  <c r="AC409" i="11" a="1"/>
  <c r="AC410" i="11" a="1"/>
  <c r="AC411" i="11"/>
  <c r="AC412" i="11"/>
  <c r="AC413" i="11"/>
  <c r="AC414" i="11"/>
  <c r="AC415" i="11"/>
  <c r="AC416" i="11"/>
  <c r="AC417" i="11"/>
  <c r="AC418" i="11"/>
  <c r="AC419" i="11"/>
  <c r="AC420" i="11" a="1"/>
  <c r="AC421" i="11"/>
  <c r="AC422" i="11"/>
  <c r="AC423" i="11"/>
  <c r="AC424" i="11"/>
  <c r="AC425" i="11"/>
  <c r="AC426" i="11"/>
  <c r="AC427" i="11"/>
  <c r="AC428" i="11"/>
  <c r="AC429" i="11"/>
  <c r="AC430" i="11" a="1"/>
  <c r="AC431" i="11"/>
  <c r="AC432" i="11"/>
  <c r="AC433" i="11"/>
  <c r="AC434" i="11"/>
  <c r="AC435" i="11"/>
  <c r="AC436" i="11"/>
  <c r="AC437" i="11"/>
  <c r="AC438" i="11"/>
  <c r="AC439" i="11"/>
  <c r="AC440" i="11" a="1"/>
  <c r="AC441" i="11"/>
  <c r="AC442" i="11"/>
  <c r="AC443" i="11"/>
  <c r="AC444" i="11"/>
  <c r="AC445" i="11"/>
  <c r="AC446" i="11"/>
  <c r="AC447" i="11"/>
  <c r="AC448" i="11"/>
  <c r="AC449" i="11"/>
  <c r="AC450" i="11" a="1"/>
  <c r="AC451" i="11"/>
  <c r="AC452" i="11"/>
  <c r="AC453" i="11"/>
  <c r="AC454" i="11"/>
  <c r="AC455" i="11"/>
  <c r="AC456" i="11"/>
  <c r="AC457" i="11"/>
  <c r="AC458" i="11"/>
  <c r="AC459" i="11"/>
  <c r="AC460" i="11" a="1"/>
  <c r="AC461" i="11"/>
  <c r="AC462" i="11"/>
  <c r="AC463" i="11"/>
  <c r="AC464" i="11"/>
  <c r="AC465" i="11"/>
  <c r="AC466" i="11"/>
  <c r="AC467" i="11"/>
  <c r="AC468" i="11"/>
  <c r="AC469" i="11"/>
  <c r="AC470" i="11" a="1"/>
  <c r="AC471" i="11"/>
  <c r="AC472" i="11"/>
  <c r="AC473" i="11"/>
  <c r="AC474" i="11"/>
  <c r="AC475" i="11"/>
  <c r="AC476" i="11"/>
  <c r="AC477" i="11"/>
  <c r="AC478" i="11"/>
  <c r="AC479" i="11"/>
  <c r="AC480" i="11" a="1"/>
  <c r="AC481" i="11"/>
  <c r="AC482" i="11"/>
  <c r="AC483" i="11"/>
  <c r="AC484" i="11"/>
  <c r="AC485" i="11"/>
  <c r="AC486" i="11"/>
  <c r="AC487" i="11"/>
  <c r="AC488" i="11"/>
  <c r="AC489" i="11"/>
  <c r="AC490" i="11" a="1"/>
  <c r="AC491" i="11"/>
  <c r="AC492" i="11"/>
  <c r="AC493" i="11"/>
  <c r="AC494" i="11"/>
  <c r="AC495" i="11"/>
  <c r="AC496" i="11"/>
  <c r="AC497" i="11"/>
  <c r="AC498" i="11"/>
  <c r="AC499" i="11"/>
  <c r="AC500" i="11" a="1"/>
  <c r="AC501" i="11" a="1"/>
  <c r="AC502" i="11" a="1"/>
  <c r="AC503" i="11" a="1"/>
  <c r="AC504" i="11" a="1"/>
  <c r="AC505" i="11" a="1"/>
  <c r="AC506" i="11" a="1"/>
  <c r="AC507" i="11" a="1"/>
  <c r="AC508" i="11" a="1"/>
  <c r="AC509" i="11" a="1"/>
  <c r="AC510" i="11" a="1"/>
  <c r="AC511" i="11"/>
  <c r="AC512" i="11"/>
  <c r="AC513" i="11"/>
  <c r="AC514" i="11"/>
  <c r="AC515" i="11"/>
  <c r="AC516" i="11"/>
  <c r="AC517" i="11"/>
  <c r="AC518" i="11"/>
  <c r="AC519" i="11"/>
  <c r="AC520" i="11" a="1"/>
  <c r="AC521" i="11"/>
  <c r="AC52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<sst xmlns="http://schemas.openxmlformats.org/spreadsheetml/2006/main" count="9195" uniqueCount="702">
  <si>
    <t>Primary Key</t>
  </si>
  <si>
    <t>Action Verb Categorization</t>
  </si>
  <si>
    <t>Load Scope</t>
  </si>
  <si>
    <t>Base ∆G</t>
  </si>
  <si>
    <t>Adjusted L</t>
  </si>
  <si>
    <t>Adjusted E</t>
  </si>
  <si>
    <t>∆G</t>
  </si>
  <si>
    <t>D</t>
  </si>
  <si>
    <t>RI</t>
  </si>
  <si>
    <t>F</t>
  </si>
  <si>
    <t>301-35M-1401</t>
  </si>
  <si>
    <t>301-35M-1401-1</t>
  </si>
  <si>
    <t>Continuous</t>
  </si>
  <si>
    <t>Task-Wide</t>
  </si>
  <si>
    <t/>
  </si>
  <si>
    <t>Critical</t>
  </si>
  <si>
    <t>High</t>
  </si>
  <si>
    <t>301-35M-1401-2</t>
  </si>
  <si>
    <t>Moderate</t>
  </si>
  <si>
    <t>301-35M-1401-3</t>
  </si>
  <si>
    <t>Point-in-Time</t>
  </si>
  <si>
    <t>301-35M-1401-3a</t>
  </si>
  <si>
    <t>Negligible</t>
  </si>
  <si>
    <t>301-35M-1401-3b</t>
  </si>
  <si>
    <t>301-35M-1401-3c</t>
  </si>
  <si>
    <t>301-35M-1401-3d</t>
  </si>
  <si>
    <t>301-35M-1401-3e</t>
  </si>
  <si>
    <t>Step-Only</t>
  </si>
  <si>
    <t>Catastrophic</t>
  </si>
  <si>
    <t>301-35M-1401-4</t>
  </si>
  <si>
    <t>301-35M-1401-4a</t>
  </si>
  <si>
    <t>301-35M-1401-4b</t>
  </si>
  <si>
    <t>301-35M-1401-4c</t>
  </si>
  <si>
    <t>301-35M-1401-5</t>
  </si>
  <si>
    <t>301-35M-1401-5a</t>
  </si>
  <si>
    <t>301-35M-1401-5b</t>
  </si>
  <si>
    <t>301-35M-1401-5c</t>
  </si>
  <si>
    <t>301-35M-1401-5d</t>
  </si>
  <si>
    <t>301-35M-1401-5e</t>
  </si>
  <si>
    <t>301-35M-1401-6</t>
  </si>
  <si>
    <t>301-35M-1401-7</t>
  </si>
  <si>
    <t>301-35M-1401-8</t>
  </si>
  <si>
    <t>301-35M-1401-9</t>
  </si>
  <si>
    <t>301-35M-1401-9a</t>
  </si>
  <si>
    <t>301-35M-1401-9b</t>
  </si>
  <si>
    <t>301-35M-1401-9c</t>
  </si>
  <si>
    <t>Low</t>
  </si>
  <si>
    <t>301-35M-1401-10</t>
  </si>
  <si>
    <t>301-35M-1401-11</t>
  </si>
  <si>
    <t>301-35M-1401-12</t>
  </si>
  <si>
    <t>301-35M-1401-13</t>
  </si>
  <si>
    <t>301-35M-1401-14</t>
  </si>
  <si>
    <t>301-35M-1401-14a</t>
  </si>
  <si>
    <t>301-35M-1401-14b</t>
  </si>
  <si>
    <t>301-35M-1401-15</t>
  </si>
  <si>
    <t>301-35M-1401-15a</t>
  </si>
  <si>
    <t>301-35M-1401-15b</t>
  </si>
  <si>
    <t>301-35M-1401-15c</t>
  </si>
  <si>
    <t>301-35M-1401-16</t>
  </si>
  <si>
    <t>301-35M-1401-17</t>
  </si>
  <si>
    <t>301-35M-1401-18</t>
  </si>
  <si>
    <t>301-35M-1402</t>
  </si>
  <si>
    <t>301-35M-1402-1</t>
  </si>
  <si>
    <t>301-35M-1402-2</t>
  </si>
  <si>
    <t>301-35M-1402-3</t>
  </si>
  <si>
    <t>301-35M-1402-3a</t>
  </si>
  <si>
    <t>301-35M-1402-3b</t>
  </si>
  <si>
    <t>301-35M-1402-3c</t>
  </si>
  <si>
    <t>301-35M-1402-3d</t>
  </si>
  <si>
    <t>301-35M-1402-3e</t>
  </si>
  <si>
    <t>301-35M-1402-3f</t>
  </si>
  <si>
    <t>301-35M-1402-4</t>
  </si>
  <si>
    <t>301-35M-1402-5</t>
  </si>
  <si>
    <t>301-35M-1402-6</t>
  </si>
  <si>
    <t>301-35M-1402-7</t>
  </si>
  <si>
    <t>301-35M-1402-8</t>
  </si>
  <si>
    <t>301-35M-1402-9</t>
  </si>
  <si>
    <t>301-35M-1402-10</t>
  </si>
  <si>
    <t>301-35M-1402-11</t>
  </si>
  <si>
    <t>301-35M-1402-12</t>
  </si>
  <si>
    <t>301-35M-1402-13</t>
  </si>
  <si>
    <t>301-35M-1402-14</t>
  </si>
  <si>
    <t>301-35M-1402-15</t>
  </si>
  <si>
    <t>301-35M-1402-16</t>
  </si>
  <si>
    <t>301-35M-1402-17</t>
  </si>
  <si>
    <t>301-35M-1402-18</t>
  </si>
  <si>
    <t>301-35M-1403</t>
  </si>
  <si>
    <t>301-35M-1403-1</t>
  </si>
  <si>
    <t>301-35M-1404</t>
  </si>
  <si>
    <t>301-35M-1404-1</t>
  </si>
  <si>
    <t>301-35M-1404-2</t>
  </si>
  <si>
    <t>301-35M-1404-3</t>
  </si>
  <si>
    <t>301-35M-1404-4</t>
  </si>
  <si>
    <t>301-35M-1404-5</t>
  </si>
  <si>
    <t>301-35M-1404-6</t>
  </si>
  <si>
    <t>301-35M-1404-7</t>
  </si>
  <si>
    <t>301-35M-1404-8</t>
  </si>
  <si>
    <t>301-35M-1404-9</t>
  </si>
  <si>
    <t>301-35M-1404-10</t>
  </si>
  <si>
    <t>301-35M-1404-11</t>
  </si>
  <si>
    <t>301-35M-1404-12</t>
  </si>
  <si>
    <t>301-35M-1404-13</t>
  </si>
  <si>
    <t>301-35M-1400</t>
  </si>
  <si>
    <t>301-35M-1400-1</t>
  </si>
  <si>
    <t>301-35M-1400-2</t>
  </si>
  <si>
    <t>301-35M-1400-3</t>
  </si>
  <si>
    <t>301-35M-1400-3a</t>
  </si>
  <si>
    <t>301-35M-1400-3b</t>
  </si>
  <si>
    <t>301-35M-1400-3c</t>
  </si>
  <si>
    <t>301-35M-1400-4</t>
  </si>
  <si>
    <t>301-35M-1400-4a</t>
  </si>
  <si>
    <t>301-35M-1400-4b</t>
  </si>
  <si>
    <t>301-35M-1400-4c</t>
  </si>
  <si>
    <t>301-35M-1400-4d</t>
  </si>
  <si>
    <t>301-35M-1400-4e</t>
  </si>
  <si>
    <t>301-35M-1400-4f</t>
  </si>
  <si>
    <t>301-35M-1400-4g</t>
  </si>
  <si>
    <t>301-35M-1400-4h</t>
  </si>
  <si>
    <t>301-35M-1400-5</t>
  </si>
  <si>
    <t>301-35M-1400-5a</t>
  </si>
  <si>
    <t>301-35M-1400-5b</t>
  </si>
  <si>
    <t>301-35M-1400-6</t>
  </si>
  <si>
    <t>301-35M-1400-6a</t>
  </si>
  <si>
    <t>301-35M-1400-6b</t>
  </si>
  <si>
    <t>301-35M-1400-6c</t>
  </si>
  <si>
    <t>301-35M-1400-7</t>
  </si>
  <si>
    <t>301-35M-1400-7a</t>
  </si>
  <si>
    <t>301-35M-1400-7b</t>
  </si>
  <si>
    <t>301-35M-1405</t>
  </si>
  <si>
    <t>301-35M-1405-1</t>
  </si>
  <si>
    <t>301-35M-1405-2</t>
  </si>
  <si>
    <t>301-35M-1405-3</t>
  </si>
  <si>
    <t>301-35M-1405-4</t>
  </si>
  <si>
    <t>301-35M-1405-4a</t>
  </si>
  <si>
    <t>301-35M-1405-4b</t>
  </si>
  <si>
    <t>301-35M-1405-4c</t>
  </si>
  <si>
    <t>301-35M-1405-4d</t>
  </si>
  <si>
    <t>301-35M-1405-4e</t>
  </si>
  <si>
    <t>301-35M-1405-5</t>
  </si>
  <si>
    <t>301-35M-1405-6</t>
  </si>
  <si>
    <t>301-35M-1405-6a</t>
  </si>
  <si>
    <t>301-35M-1405-6b</t>
  </si>
  <si>
    <t>301-35M-1405-7</t>
  </si>
  <si>
    <t>301-35M-2401</t>
  </si>
  <si>
    <t>301-35M-2401-1</t>
  </si>
  <si>
    <t>301-35M-2401-2</t>
  </si>
  <si>
    <t>301-35M-2401-3</t>
  </si>
  <si>
    <t>301-35M-2401-4</t>
  </si>
  <si>
    <t>301-35M-2401-5</t>
  </si>
  <si>
    <t>301-35M-2401-6</t>
  </si>
  <si>
    <t>301-35M-2401-7</t>
  </si>
  <si>
    <t>301-35M-2401-8</t>
  </si>
  <si>
    <t>301-35M-2401-9</t>
  </si>
  <si>
    <t>301-35M-2401-10</t>
  </si>
  <si>
    <t>301-35M-2400</t>
  </si>
  <si>
    <t>301-35M-2400-1</t>
  </si>
  <si>
    <t>301-35M-2400-2</t>
  </si>
  <si>
    <t>301-35M-2400-3</t>
  </si>
  <si>
    <t>301-35M-2400-4</t>
  </si>
  <si>
    <t>301-35M-2400-5</t>
  </si>
  <si>
    <t>301-35M-2400-6</t>
  </si>
  <si>
    <t>301-35M-2400-7</t>
  </si>
  <si>
    <t>301-35M-2400-7a</t>
  </si>
  <si>
    <t>301-35M-2400-7b</t>
  </si>
  <si>
    <t>301-35M-2400-7c</t>
  </si>
  <si>
    <t>301-35M-2400-7d</t>
  </si>
  <si>
    <t>301-35M-2400-7e</t>
  </si>
  <si>
    <t>301-35M-2400-8</t>
  </si>
  <si>
    <t>301-35M-2400-8a</t>
  </si>
  <si>
    <t>301-35M-2400-8b</t>
  </si>
  <si>
    <t>301-35M-2400-8c</t>
  </si>
  <si>
    <t>301-35M-2400-9</t>
  </si>
  <si>
    <t>301-35M-2400-9a</t>
  </si>
  <si>
    <t>301-35M-2400-9b</t>
  </si>
  <si>
    <t>301-35M-2400-9c</t>
  </si>
  <si>
    <t>301-35M-2400-9d</t>
  </si>
  <si>
    <t>301-35M-2400-9e</t>
  </si>
  <si>
    <t>301-35M-2403</t>
  </si>
  <si>
    <t>301-35M-2403-1</t>
  </si>
  <si>
    <t>301-35M-2403-2</t>
  </si>
  <si>
    <t>301-35M-2403-3</t>
  </si>
  <si>
    <t>301-35M-2403-4</t>
  </si>
  <si>
    <t>301-35M-2402</t>
  </si>
  <si>
    <t>301-35M-2402-1</t>
  </si>
  <si>
    <t>301-35M-2402-2</t>
  </si>
  <si>
    <t>301-35M-2402-3</t>
  </si>
  <si>
    <t>301-35M-2402-3a</t>
  </si>
  <si>
    <t>301-35M-2402-3b</t>
  </si>
  <si>
    <t>301-35M-2402-3c</t>
  </si>
  <si>
    <t>301-35M-2402-4</t>
  </si>
  <si>
    <t>301-35M-2402-4a</t>
  </si>
  <si>
    <t>301-35M-2402-4b</t>
  </si>
  <si>
    <t>301-35M-2402-4c</t>
  </si>
  <si>
    <t>301-35M-2402-4d</t>
  </si>
  <si>
    <t>301-35M-2402-5</t>
  </si>
  <si>
    <t>301-35M-2402-5a</t>
  </si>
  <si>
    <t>301-35M-2402-5b</t>
  </si>
  <si>
    <t>301-35M-2402-5c</t>
  </si>
  <si>
    <t>301-35M-2402-6</t>
  </si>
  <si>
    <t>301-35M-2402-7</t>
  </si>
  <si>
    <t>301-35M-3401</t>
  </si>
  <si>
    <t>301-35M-3401-1</t>
  </si>
  <si>
    <t>301-35M-3401-2</t>
  </si>
  <si>
    <t>301-35M-3401-3</t>
  </si>
  <si>
    <t>301-35M-3401-3a</t>
  </si>
  <si>
    <t>301-35M-3401-3b</t>
  </si>
  <si>
    <t>301-35M-3401-3c</t>
  </si>
  <si>
    <t>301-35M-3401-4</t>
  </si>
  <si>
    <t>301-35M-3401-5</t>
  </si>
  <si>
    <t>301-35M-3401-5a</t>
  </si>
  <si>
    <t>301-35M-3401-5b</t>
  </si>
  <si>
    <t>301-35M-3401-6</t>
  </si>
  <si>
    <t>301-35M-3401-6a</t>
  </si>
  <si>
    <t>301-35M-3401-6b</t>
  </si>
  <si>
    <t>301-35M-3401-7</t>
  </si>
  <si>
    <t>301-35M-3401-7a</t>
  </si>
  <si>
    <t>301-35M-3401-7b</t>
  </si>
  <si>
    <t>301-35M-3401-7c</t>
  </si>
  <si>
    <t>301-35M-3401-7d</t>
  </si>
  <si>
    <t>301-35M-3401-8</t>
  </si>
  <si>
    <t>301-35M-3402</t>
  </si>
  <si>
    <t>301-35M-3402-1</t>
  </si>
  <si>
    <t>301-35M-3402-2</t>
  </si>
  <si>
    <t>301-35M-3402-3</t>
  </si>
  <si>
    <t>301-35M-3402-3a</t>
  </si>
  <si>
    <t>301-35M-3402-3b</t>
  </si>
  <si>
    <t>301-35M-3402-3c</t>
  </si>
  <si>
    <t>301-35M-3402-3d</t>
  </si>
  <si>
    <t>301-35M-3402-4</t>
  </si>
  <si>
    <t>301-35M-3402-4a</t>
  </si>
  <si>
    <t>301-35M-3402-4b</t>
  </si>
  <si>
    <t>301-35M-3402-5</t>
  </si>
  <si>
    <t>301-35M-3402-5a</t>
  </si>
  <si>
    <t>301-35M-3402-5b</t>
  </si>
  <si>
    <t>301-35M-3402-6</t>
  </si>
  <si>
    <t>301-35M-3402-6a</t>
  </si>
  <si>
    <t>301-35M-3402-6b</t>
  </si>
  <si>
    <t>301-35M-3402-6c</t>
  </si>
  <si>
    <t>301-35M-3402-6d</t>
  </si>
  <si>
    <t>301-35M-3402-6e</t>
  </si>
  <si>
    <t>301-35M-3402-6f</t>
  </si>
  <si>
    <t>301-35M-3402-7</t>
  </si>
  <si>
    <t>301-35M-3402-8</t>
  </si>
  <si>
    <t>301-35M-3402-9</t>
  </si>
  <si>
    <t>301-35M-3402-10</t>
  </si>
  <si>
    <t>301-35M-3402-11</t>
  </si>
  <si>
    <t>301-35M-3402-12</t>
  </si>
  <si>
    <t>301-35M-3402-13</t>
  </si>
  <si>
    <t>301-35M-3402-14</t>
  </si>
  <si>
    <t>301-35M-3402-14a</t>
  </si>
  <si>
    <t>301-35M-3402-14b</t>
  </si>
  <si>
    <t>301-35M-3402-14c</t>
  </si>
  <si>
    <t>301-35M-3402-14d</t>
  </si>
  <si>
    <t>301-35M-3402-14e</t>
  </si>
  <si>
    <t>301-35M-3403</t>
  </si>
  <si>
    <t>301-35M-3403-1</t>
  </si>
  <si>
    <t>301-35M-3403-2</t>
  </si>
  <si>
    <t>301-35M-3403-3</t>
  </si>
  <si>
    <t>301-35M-3403-4</t>
  </si>
  <si>
    <t>301-35M-3403-5</t>
  </si>
  <si>
    <t>301-35M-3403-6</t>
  </si>
  <si>
    <t>301-35M-3404</t>
  </si>
  <si>
    <t>301-35M-3404-1</t>
  </si>
  <si>
    <t>301-35M-3404-2</t>
  </si>
  <si>
    <t>301-35M-3404-3</t>
  </si>
  <si>
    <t>301-35M-3404-3a</t>
  </si>
  <si>
    <t>301-35M-3404-3b</t>
  </si>
  <si>
    <t>301-35M-3404-3c</t>
  </si>
  <si>
    <t>301-35M-3404-3d</t>
  </si>
  <si>
    <t>301-35M-3404-4</t>
  </si>
  <si>
    <t>301-35M-3404-4a</t>
  </si>
  <si>
    <t>301-35M-3404-4b</t>
  </si>
  <si>
    <t>301-35M-3404-5</t>
  </si>
  <si>
    <t>301-35M-3400</t>
  </si>
  <si>
    <t>301-35M-3400-1</t>
  </si>
  <si>
    <t>301-35M-3400-2</t>
  </si>
  <si>
    <t>301-35M-3400-3</t>
  </si>
  <si>
    <t>301-35M-3400-4</t>
  </si>
  <si>
    <t>301-35M-3400-5</t>
  </si>
  <si>
    <t>301-35M-3400-6</t>
  </si>
  <si>
    <t>301-35M-3400-7</t>
  </si>
  <si>
    <t>301-35M-3400-8</t>
  </si>
  <si>
    <t>301-35M-3400-9</t>
  </si>
  <si>
    <t>301-35M-3400-9a</t>
  </si>
  <si>
    <t>301-35M-3400-9b</t>
  </si>
  <si>
    <t>301-35M-3400-10</t>
  </si>
  <si>
    <t>301-35M-3400-10a</t>
  </si>
  <si>
    <t>301-35M-3400-10b</t>
  </si>
  <si>
    <t>301-35M-3400-10c</t>
  </si>
  <si>
    <t>301-35M-3400-11</t>
  </si>
  <si>
    <t>301-35M-3400-12</t>
  </si>
  <si>
    <t>301-35M-3400-12a</t>
  </si>
  <si>
    <t>301-35M-3400-12b</t>
  </si>
  <si>
    <t>301-35M-3400-13</t>
  </si>
  <si>
    <t>301-35M-3400-13a</t>
  </si>
  <si>
    <t>301-35M-3400-13b</t>
  </si>
  <si>
    <t>301-35M-3400-14</t>
  </si>
  <si>
    <t>301-35M-3400-15</t>
  </si>
  <si>
    <t>301-35M-3400-15a</t>
  </si>
  <si>
    <t>301-35M-3400-15b</t>
  </si>
  <si>
    <t>301-35M-3400-15c</t>
  </si>
  <si>
    <t>301-35M-3407</t>
  </si>
  <si>
    <t>301-35M-3407-1</t>
  </si>
  <si>
    <t>301-35M-3407-2</t>
  </si>
  <si>
    <t>301-35M-3407-3</t>
  </si>
  <si>
    <t>301-35M-3407-4</t>
  </si>
  <si>
    <t>301-35M-3407-4a</t>
  </si>
  <si>
    <t>301-35M-3407-4b</t>
  </si>
  <si>
    <t>301-35M-3407-5</t>
  </si>
  <si>
    <t>301-35M-3407-6</t>
  </si>
  <si>
    <t>301-35M-3407-7</t>
  </si>
  <si>
    <t>301-35M-3407-8</t>
  </si>
  <si>
    <t>301-35M-3407-9</t>
  </si>
  <si>
    <t>301-35M-3407-10</t>
  </si>
  <si>
    <t>301-35M-3405</t>
  </si>
  <si>
    <t>301-35M-3405-1</t>
  </si>
  <si>
    <t>301-35M-3405-2</t>
  </si>
  <si>
    <t>301-35M-3405-3</t>
  </si>
  <si>
    <t>301-35M-3405-4</t>
  </si>
  <si>
    <t>301-35M-3405-5</t>
  </si>
  <si>
    <t>301-35M-3405-6</t>
  </si>
  <si>
    <t>301-35M-3405-7</t>
  </si>
  <si>
    <t>301-35M-3405-8</t>
  </si>
  <si>
    <t>301-35M-3405-9</t>
  </si>
  <si>
    <t>301-35M-3405-10</t>
  </si>
  <si>
    <t>301-35M-3405-11</t>
  </si>
  <si>
    <t>301-35M-3406</t>
  </si>
  <si>
    <t>301-35M-3406-1</t>
  </si>
  <si>
    <t>301-35M-3406-2</t>
  </si>
  <si>
    <t>301-35M-3406-3</t>
  </si>
  <si>
    <t>301-35M-3406-4</t>
  </si>
  <si>
    <t>301-35M-3406-5</t>
  </si>
  <si>
    <t>301-35M-3406-6</t>
  </si>
  <si>
    <t>301-35M-4401</t>
  </si>
  <si>
    <t>301-35M-4401-1</t>
  </si>
  <si>
    <t>301-35M-4401-2</t>
  </si>
  <si>
    <t>301-35M-4401-3</t>
  </si>
  <si>
    <t>301-35M-4401-4</t>
  </si>
  <si>
    <t>301-35M-4401-5</t>
  </si>
  <si>
    <t>301-35M-4401-6</t>
  </si>
  <si>
    <t>301-35M-4401-7</t>
  </si>
  <si>
    <t>301-35M-4401-8</t>
  </si>
  <si>
    <t>301-35M-4401-9</t>
  </si>
  <si>
    <t>301-35M-4401-10</t>
  </si>
  <si>
    <t>301-35M-4402</t>
  </si>
  <si>
    <t>301-35M-4402-1</t>
  </si>
  <si>
    <t>301-35M-4402-2</t>
  </si>
  <si>
    <t>301-35M-4402-2a</t>
  </si>
  <si>
    <t>301-35M-4402-2b</t>
  </si>
  <si>
    <t>301-35M-4402-2c</t>
  </si>
  <si>
    <t>301-35M-4402-2d</t>
  </si>
  <si>
    <t>301-35M-4402-2e</t>
  </si>
  <si>
    <t>301-35M-4402-2f</t>
  </si>
  <si>
    <t>301-35M-4402-3</t>
  </si>
  <si>
    <t>301-35M-4402-4</t>
  </si>
  <si>
    <t>301-35M-4402-4a</t>
  </si>
  <si>
    <t>301-35M-4402-4b</t>
  </si>
  <si>
    <t>301-35M-4402-5</t>
  </si>
  <si>
    <t>301-35M-4402-5a</t>
  </si>
  <si>
    <t>301-35M-4402-5b</t>
  </si>
  <si>
    <t>301-35M-4402-6</t>
  </si>
  <si>
    <t>301-35M-4400</t>
  </si>
  <si>
    <t>301-35M-4400-1</t>
  </si>
  <si>
    <t>301-35M-4400-2</t>
  </si>
  <si>
    <t>301-35M-4400-3</t>
  </si>
  <si>
    <t>301-35M-4400-4</t>
  </si>
  <si>
    <t>301-35M-4400-5</t>
  </si>
  <si>
    <t>301-35M-4400-6</t>
  </si>
  <si>
    <t>301-35M-4400-7</t>
  </si>
  <si>
    <t>301-35M-4400-8</t>
  </si>
  <si>
    <t>301-35M-4400-9</t>
  </si>
  <si>
    <t>301-35M-4400-9a</t>
  </si>
  <si>
    <t>301-35M-4400-9b</t>
  </si>
  <si>
    <t>301-35M-4400-10</t>
  </si>
  <si>
    <t>301-35M-4400-11</t>
  </si>
  <si>
    <t>301-35M-4400-12</t>
  </si>
  <si>
    <t>301-35M-4400-13</t>
  </si>
  <si>
    <t>301-35M-4400-14</t>
  </si>
  <si>
    <t>301-35M-4404</t>
  </si>
  <si>
    <t>301-35M-4404-1</t>
  </si>
  <si>
    <t>301-35M-4404-2</t>
  </si>
  <si>
    <t>301-35M-4404-3</t>
  </si>
  <si>
    <t>301-35M-4404-4</t>
  </si>
  <si>
    <t>301-35M-4404-5</t>
  </si>
  <si>
    <t>301-35M-4404-6</t>
  </si>
  <si>
    <t>301-35M-4404-7</t>
  </si>
  <si>
    <t>301-35M-4404-8</t>
  </si>
  <si>
    <t>301-35M-4404-9</t>
  </si>
  <si>
    <t>301-35M-4403</t>
  </si>
  <si>
    <t>301-35M-4403-1</t>
  </si>
  <si>
    <t>301-35M-4403-2</t>
  </si>
  <si>
    <t>301-35M-4403-3</t>
  </si>
  <si>
    <t>301-35M-4403-3a</t>
  </si>
  <si>
    <t>301-35M-4403-3b</t>
  </si>
  <si>
    <t>301-35M-4403-3c</t>
  </si>
  <si>
    <t>301-35M-4403-3d</t>
  </si>
  <si>
    <t>301-35M-4403-4</t>
  </si>
  <si>
    <t>301-35M-4403-5</t>
  </si>
  <si>
    <t>301-35M-4403-6</t>
  </si>
  <si>
    <t>301-35M-4403-7</t>
  </si>
  <si>
    <t>301-51M-1006</t>
  </si>
  <si>
    <t>301-51M-1006-1</t>
  </si>
  <si>
    <t>301-51M-1006-2</t>
  </si>
  <si>
    <t>301-51M-1006-3</t>
  </si>
  <si>
    <t>301-51M-1001</t>
  </si>
  <si>
    <t>301-51M-1001-1</t>
  </si>
  <si>
    <t>301-51M-1001-1a</t>
  </si>
  <si>
    <t>301-51M-1001-1b</t>
  </si>
  <si>
    <t>301-51M-1001-2</t>
  </si>
  <si>
    <t>301-51M-1001-2a</t>
  </si>
  <si>
    <t>301-51M-1001-2b</t>
  </si>
  <si>
    <t>301-51M-1001-2c</t>
  </si>
  <si>
    <t>301-51M-1001-2d</t>
  </si>
  <si>
    <t>301-51M-1001-2e</t>
  </si>
  <si>
    <t>301-51M-1001-3</t>
  </si>
  <si>
    <t>301-51M-1001-3a</t>
  </si>
  <si>
    <t>301-51M-1001-3b</t>
  </si>
  <si>
    <t>301-51M-1001-3c</t>
  </si>
  <si>
    <t>301-51M-1001-4</t>
  </si>
  <si>
    <t>301-51M-1001-4a</t>
  </si>
  <si>
    <t>301-51M-1001-4b</t>
  </si>
  <si>
    <t>301-51M-1001-4c</t>
  </si>
  <si>
    <t>301-51M-1001-4d</t>
  </si>
  <si>
    <t>301-51M-1002</t>
  </si>
  <si>
    <t>301-51M-1002-1</t>
  </si>
  <si>
    <t>301-51M-1002-2</t>
  </si>
  <si>
    <t>301-51M-1002-3</t>
  </si>
  <si>
    <t>301-51M-1002-4</t>
  </si>
  <si>
    <t>301-51M-1002-5</t>
  </si>
  <si>
    <t>301-51M-1003</t>
  </si>
  <si>
    <t>301-51M-1003-1</t>
  </si>
  <si>
    <t>301-51M-1003-2</t>
  </si>
  <si>
    <t>301-51M-1003-3</t>
  </si>
  <si>
    <t>301-51M-1003-4</t>
  </si>
  <si>
    <t>301-51M-1003-5</t>
  </si>
  <si>
    <t>301-51M-1003-6</t>
  </si>
  <si>
    <t>301-51M-1003-7</t>
  </si>
  <si>
    <t>301-51M-1005</t>
  </si>
  <si>
    <t>301-51M-1005-1</t>
  </si>
  <si>
    <t>301-51M-1005-2</t>
  </si>
  <si>
    <t>301-51M-1005-3</t>
  </si>
  <si>
    <t>301-51M-1005-4</t>
  </si>
  <si>
    <t>301-51M-1005-5</t>
  </si>
  <si>
    <t>301-51M-1007</t>
  </si>
  <si>
    <t>301-51M-1007-1</t>
  </si>
  <si>
    <t>301-51M-1007-2</t>
  </si>
  <si>
    <t>301-51M-1007-3</t>
  </si>
  <si>
    <t>301-51M-1007-4</t>
  </si>
  <si>
    <t>301-51M-1007-5</t>
  </si>
  <si>
    <t>301-51M-1007-6</t>
  </si>
  <si>
    <t>301-51M-1008</t>
  </si>
  <si>
    <t>301-51M-1008-1</t>
  </si>
  <si>
    <t>301-51M-1008-2</t>
  </si>
  <si>
    <t>301-51M-1008-3</t>
  </si>
  <si>
    <t>301-51M-1008-4</t>
  </si>
  <si>
    <t>301-51M-1008-5</t>
  </si>
  <si>
    <t>301-51M-1008-6</t>
  </si>
  <si>
    <t>301-51M-1008-7</t>
  </si>
  <si>
    <t>301-51M-1010</t>
  </si>
  <si>
    <t>301-51M-1010-1</t>
  </si>
  <si>
    <t>301-51M-1000</t>
  </si>
  <si>
    <t>301-51M-1000-1</t>
  </si>
  <si>
    <t>301-51M-1000-1a</t>
  </si>
  <si>
    <t>301-51M-1000-1b</t>
  </si>
  <si>
    <t>301-51M-1000-1c</t>
  </si>
  <si>
    <t>301-51M-1000-1d</t>
  </si>
  <si>
    <t>301-51M-1000-1e</t>
  </si>
  <si>
    <t>301-51M-1000-1f</t>
  </si>
  <si>
    <t>301-51M-1000-2</t>
  </si>
  <si>
    <t>301-51M-1000-2a</t>
  </si>
  <si>
    <t>301-51M-1000-2b</t>
  </si>
  <si>
    <t>301-51M-1000-2c</t>
  </si>
  <si>
    <t>301-51M-1000-3</t>
  </si>
  <si>
    <t>301-51M-1000-3a</t>
  </si>
  <si>
    <t>301-51M-1000-3b</t>
  </si>
  <si>
    <t>301-51M-1000-4</t>
  </si>
  <si>
    <t>301-51M-1000-4a</t>
  </si>
  <si>
    <t>301-51M-1000-4b</t>
  </si>
  <si>
    <t>301-51M-1000-4c</t>
  </si>
  <si>
    <t>301-51M-1000-5</t>
  </si>
  <si>
    <t>301-51M-1004</t>
  </si>
  <si>
    <t>301-51M-1004-1</t>
  </si>
  <si>
    <t>301-51M-1004-2</t>
  </si>
  <si>
    <t>301-51M-1004-3</t>
  </si>
  <si>
    <t>301-51M-1004-4</t>
  </si>
  <si>
    <t>301-51M-1009</t>
  </si>
  <si>
    <t>301-51M-1009-1</t>
  </si>
  <si>
    <t>301-51M-1009-2</t>
  </si>
  <si>
    <t>301-51M-1009-3</t>
  </si>
  <si>
    <t>301-51M-1009-4</t>
  </si>
  <si>
    <t>301-51M-2002</t>
  </si>
  <si>
    <t>301-51M-2002-1</t>
  </si>
  <si>
    <t>301-51M-2002-2</t>
  </si>
  <si>
    <t>301-51M-2002-3</t>
  </si>
  <si>
    <t>301-51M-2002-4</t>
  </si>
  <si>
    <t>301-51M-2000</t>
  </si>
  <si>
    <t>301-51M-2000-1</t>
  </si>
  <si>
    <t>301-51M-2000-2</t>
  </si>
  <si>
    <t>301-51M-2000-3</t>
  </si>
  <si>
    <t>301-51M-2000-4</t>
  </si>
  <si>
    <t>301-51M-2000-5</t>
  </si>
  <si>
    <t>301-51M-2000-6</t>
  </si>
  <si>
    <t>301-51M-2000-7</t>
  </si>
  <si>
    <t>301-51M-2000-8</t>
  </si>
  <si>
    <t>301-51M-2001</t>
  </si>
  <si>
    <t>301-51M-2001-1</t>
  </si>
  <si>
    <t>301-51M-2001-2</t>
  </si>
  <si>
    <t>301-51M-2001-3</t>
  </si>
  <si>
    <t>301-51M-2001-4</t>
  </si>
  <si>
    <t>301-51M-2001-5</t>
  </si>
  <si>
    <t>301-51M-2001-6</t>
  </si>
  <si>
    <t>301-51M-2003</t>
  </si>
  <si>
    <t>301-51M-2003-1</t>
  </si>
  <si>
    <t>301-SI2F-1401</t>
  </si>
  <si>
    <t>301-SI2F-1401-1</t>
  </si>
  <si>
    <t>301-SI2F-1401-2</t>
  </si>
  <si>
    <t>301-SI2F-1401-3</t>
  </si>
  <si>
    <t>301-SI2F-1401-4</t>
  </si>
  <si>
    <t>301-SI2F-1401-5</t>
  </si>
  <si>
    <t>301-SI2F-1401-6</t>
  </si>
  <si>
    <t>301-SI2F-1401-7</t>
  </si>
  <si>
    <t>301-SI2F-1401-8</t>
  </si>
  <si>
    <t>301-SI2F-1402</t>
  </si>
  <si>
    <t>301-SI2F-1402-1</t>
  </si>
  <si>
    <t>301-SI2F-1402-2</t>
  </si>
  <si>
    <t>301-SI2F-1402-3</t>
  </si>
  <si>
    <t>301-SI2F-1402-4</t>
  </si>
  <si>
    <t>301-SI2F-1402-5</t>
  </si>
  <si>
    <t>301-SI2F-1402-6</t>
  </si>
  <si>
    <t>301-SI2F-1402-7</t>
  </si>
  <si>
    <t>301-SI2F-1402-8</t>
  </si>
  <si>
    <t>301-SI2F-1402-9</t>
  </si>
  <si>
    <t>301-SI2F-1402-10</t>
  </si>
  <si>
    <t>301-SI2F-1400</t>
  </si>
  <si>
    <t>301-SI2F-1400-1</t>
  </si>
  <si>
    <t>301-SI2F-1400-2</t>
  </si>
  <si>
    <t>301-SI2F-1400-3</t>
  </si>
  <si>
    <t>301-SI2F-1400-4</t>
  </si>
  <si>
    <t>301-SI2F-1400-5</t>
  </si>
  <si>
    <t>301-SI2F-1400-6</t>
  </si>
  <si>
    <t>301-SI2F-1400-7</t>
  </si>
  <si>
    <t>% Negligible</t>
  </si>
  <si>
    <t>% High</t>
  </si>
  <si>
    <t># Low Feasibility</t>
  </si>
  <si>
    <t>% Low Feasibility</t>
  </si>
  <si>
    <t>% Moderate</t>
  </si>
  <si>
    <t># Moderate Feasibility</t>
  </si>
  <si>
    <t>% Moderate Feasibility</t>
  </si>
  <si>
    <t>% Critical</t>
  </si>
  <si>
    <t>% Low</t>
  </si>
  <si>
    <t># High Feasibility</t>
  </si>
  <si>
    <t>% High Feasibility</t>
  </si>
  <si>
    <t>Minimum</t>
  </si>
  <si>
    <t>% Catastrophic</t>
  </si>
  <si>
    <t>Skew</t>
  </si>
  <si>
    <t>Correlation Coefficient L/E</t>
  </si>
  <si>
    <t>Maximum</t>
  </si>
  <si>
    <t>Quartile 1</t>
  </si>
  <si>
    <t>Correlation Coefficient Adjusted L/E</t>
  </si>
  <si>
    <t>STDEV</t>
  </si>
  <si>
    <t>Quartile 2</t>
  </si>
  <si>
    <t>Correlation Coefficient RI/F</t>
  </si>
  <si>
    <t>AVG Enlisted</t>
  </si>
  <si>
    <t>Quartile 3</t>
  </si>
  <si>
    <t>Correlation Coefficient L/F</t>
  </si>
  <si>
    <t>AVG WO</t>
  </si>
  <si>
    <t>Correlation Coefficient E/F</t>
  </si>
  <si>
    <t>AVG SI 2F</t>
  </si>
  <si>
    <t>Correlation Coefficient Adjusted L/F</t>
  </si>
  <si>
    <t>Median Enlisted</t>
  </si>
  <si>
    <t>Correlation Coefficient Adjusted E/F</t>
  </si>
  <si>
    <t>Median WO</t>
  </si>
  <si>
    <t>Correlation Coefficient L/IV</t>
  </si>
  <si>
    <t>Median SI 2F</t>
  </si>
  <si>
    <t>Correlation Coefficient E/IV</t>
  </si>
  <si>
    <t>STDEV Enlisted</t>
  </si>
  <si>
    <t>Correlation Coefficient Adjusted L/IV</t>
  </si>
  <si>
    <t>STDEV WO</t>
  </si>
  <si>
    <t>Correlation Coefficient Adjusted E/IV</t>
  </si>
  <si>
    <t>STDEV SI 2F</t>
  </si>
  <si>
    <t>Correlation Coefficient IV/F</t>
  </si>
  <si>
    <t>L</t>
  </si>
  <si>
    <t>E</t>
  </si>
  <si>
    <t>IV</t>
  </si>
  <si>
    <t>C</t>
  </si>
  <si>
    <t>V</t>
  </si>
  <si>
    <t>Mapped GWA</t>
  </si>
  <si>
    <t>Evaluating information to determine compliance with standards</t>
  </si>
  <si>
    <t>Analyzing data or information</t>
  </si>
  <si>
    <t>Organizing, planning, and prioritizing work</t>
  </si>
  <si>
    <t>Getting information</t>
  </si>
  <si>
    <t>Communicating with supervisors, peers, or subordinates</t>
  </si>
  <si>
    <t>Guiding, directing, and motivating subordinates</t>
  </si>
  <si>
    <t>Coordinating the work and activities of others</t>
  </si>
  <si>
    <t>Resolving conflicts and negotiating with others</t>
  </si>
  <si>
    <t>Monitoring processes, materials, or surroundings</t>
  </si>
  <si>
    <t>Judging the qualities of objects, services, or people</t>
  </si>
  <si>
    <t>Processing information</t>
  </si>
  <si>
    <t>Providing consultation and advice to others</t>
  </si>
  <si>
    <t>Documenting/recording information</t>
  </si>
  <si>
    <t>Performing general physical activities</t>
  </si>
  <si>
    <t>Establishing and maintaining interpersonal relationships</t>
  </si>
  <si>
    <t>Operating vehicles, mechanized devices, or equipment</t>
  </si>
  <si>
    <t>Repairing and maintaining electronic equipment</t>
  </si>
  <si>
    <t>Thinking creatively</t>
  </si>
  <si>
    <t>Training and teaching others</t>
  </si>
  <si>
    <t>Working with computers</t>
  </si>
  <si>
    <t>Making decisions and solving problems</t>
  </si>
  <si>
    <t>Coaching and developing others</t>
  </si>
  <si>
    <t>Interpreting the meaning of information for others</t>
  </si>
  <si>
    <t>Average L</t>
  </si>
  <si>
    <t>Average E</t>
  </si>
  <si>
    <t>Average ∆G</t>
  </si>
  <si>
    <t>Average IV</t>
  </si>
  <si>
    <t>Average RI</t>
  </si>
  <si>
    <t>Average F</t>
  </si>
  <si>
    <t>Median L</t>
  </si>
  <si>
    <t>Median E</t>
  </si>
  <si>
    <t>Median ∆G</t>
  </si>
  <si>
    <t>Median IV</t>
  </si>
  <si>
    <t>Median RI</t>
  </si>
  <si>
    <t>Median F</t>
  </si>
  <si>
    <t>F Cutoff</t>
  </si>
  <si>
    <t>Mode L</t>
  </si>
  <si>
    <t>Mode E</t>
  </si>
  <si>
    <t>Mode ∆G</t>
  </si>
  <si>
    <t>Mode IV</t>
  </si>
  <si>
    <t>Mode RI</t>
  </si>
  <si>
    <t>Mode F</t>
  </si>
  <si>
    <t>4.A.4.b.5</t>
  </si>
  <si>
    <t>Developing and building teams</t>
  </si>
  <si>
    <t>4.A.4.b.2</t>
  </si>
  <si>
    <t>4.A.4.a.7</t>
  </si>
  <si>
    <t>Assisting and caring for others</t>
  </si>
  <si>
    <t>4.A.4.a.5</t>
  </si>
  <si>
    <t>4.A.4.a.4</t>
  </si>
  <si>
    <t>4.A.3.b.5</t>
  </si>
  <si>
    <t>Repairing and maintaining mechanical equipment</t>
  </si>
  <si>
    <t>4.A.3.b.4</t>
  </si>
  <si>
    <t>Handling and moving objects</t>
  </si>
  <si>
    <t>4.A.3.a.2</t>
  </si>
  <si>
    <t>4.A.3.a.1</t>
  </si>
  <si>
    <t>Medium</t>
  </si>
  <si>
    <t>Staffing organizational units</t>
  </si>
  <si>
    <t>4.A.4.c.2</t>
  </si>
  <si>
    <t>4.A.4.b.6</t>
  </si>
  <si>
    <t>4.A.4.b.4</t>
  </si>
  <si>
    <t>4.A.4.b.3</t>
  </si>
  <si>
    <t>4.A.4.b.1</t>
  </si>
  <si>
    <t>Selling or influencing others</t>
  </si>
  <si>
    <t>4.A.4.a.6</t>
  </si>
  <si>
    <t>Communicating with people outside the organization</t>
  </si>
  <si>
    <t>4.A.4.a.3</t>
  </si>
  <si>
    <t>4.A.4.a.2</t>
  </si>
  <si>
    <t>4.A.4.a.1</t>
  </si>
  <si>
    <t>4.A.2.b.6</t>
  </si>
  <si>
    <t>Developing objectives and strategies</t>
  </si>
  <si>
    <t>4.A.2.b.4</t>
  </si>
  <si>
    <t>Updating and using relevant knowledge</t>
  </si>
  <si>
    <t>4.A.2.b.3</t>
  </si>
  <si>
    <t>4.A.2.a.1</t>
  </si>
  <si>
    <t>Estimating the quantifiable characteristics of products, events, or information</t>
  </si>
  <si>
    <t>4.A.1.b.3</t>
  </si>
  <si>
    <t>Inspecting equipment, structures, or materials</t>
  </si>
  <si>
    <t>4.A.1.b.2</t>
  </si>
  <si>
    <t>Identifying objects, actions, and events</t>
  </si>
  <si>
    <t>4.A.1.b.1</t>
  </si>
  <si>
    <t>Monitoring and controlling resources</t>
  </si>
  <si>
    <t>4.A.4.c.3</t>
  </si>
  <si>
    <t>Performing administrative activities</t>
  </si>
  <si>
    <t>4.A.4.c.1</t>
  </si>
  <si>
    <t>Performing for or working directly with the public</t>
  </si>
  <si>
    <t>4.A.4.a.8</t>
  </si>
  <si>
    <t>4.A.3.b.6</t>
  </si>
  <si>
    <t>Drafting, laying out, and specifying technical devices, parts, and equipment</t>
  </si>
  <si>
    <t>4.A.3.b.2</t>
  </si>
  <si>
    <t>4.A.3.b.1</t>
  </si>
  <si>
    <t>4.A.3.a.4</t>
  </si>
  <si>
    <t>Controlling machines and processes</t>
  </si>
  <si>
    <t>4.A.3.a.3</t>
  </si>
  <si>
    <t>Scheduling work and activities</t>
  </si>
  <si>
    <t>4.A.2.b.5</t>
  </si>
  <si>
    <t>4.A.2.b.2</t>
  </si>
  <si>
    <t>4.A.2.b.1</t>
  </si>
  <si>
    <t>4.A.2.a.4</t>
  </si>
  <si>
    <t>4.A.2.a.3</t>
  </si>
  <si>
    <t>4.A.2.a.2</t>
  </si>
  <si>
    <t>4.A.1.a.2</t>
  </si>
  <si>
    <t>4.A.1.a.1</t>
  </si>
  <si>
    <t>impact_scope_ai</t>
  </si>
  <si>
    <t>Pew Exposure</t>
  </si>
  <si>
    <t>GWA Title</t>
  </si>
  <si>
    <t>GWA Element ID</t>
  </si>
  <si>
    <t>F Bottom Threshold</t>
  </si>
  <si>
    <t>Mean</t>
  </si>
  <si>
    <t>Enlisted Vs. Warrant</t>
  </si>
  <si>
    <t>F Test</t>
  </si>
  <si>
    <t>Mean Minus StDev</t>
  </si>
  <si>
    <t>T Test</t>
  </si>
  <si>
    <t>Enlisted Vs. Officer</t>
  </si>
  <si>
    <t>Officer Vs. Warrant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</si>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</sst>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13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2"/>
      <color rgb="FF000000"/>
      <name val="FranklinGothic-Book"/>
    </font>
    <font>
      <sz val="10"/>
      <color theme="1"/>
      <name val="Aptos Narrow"/>
      <family val="2"/>
      <scheme val="minor"/>
    </font>
    <font>
      <sz val="10"/>
      <color rgb="FF000000"/>
      <name val="FranklinGothic-Book"/>
    </font>
    <font>
      <sz val="10"/>
      <name val="FranklinGothic-Book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</cellStyleXfs>
  <cellXfs count="36">
    <xf numFmtId="0" fontId="0" fillId="0" borderId="0" xfId="0"/>
    <xf numFmtId="0" fontId="1" fillId="0" borderId="0" xfId="1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3" fillId="0" borderId="0" xfId="3"/>
    <xf numFmtId="0" fontId="4" fillId="0" borderId="0" xfId="3" applyFont="1" applyAlignment="1">
      <alignment horizontal="right"/>
    </xf>
    <xf numFmtId="0" fontId="6" fillId="0" borderId="0" xfId="3" applyFont="1"/>
    <xf numFmtId="0" fontId="5" fillId="0" borderId="0" xfId="4"/>
    <xf numFmtId="0" fontId="7" fillId="0" borderId="0" xfId="3" applyFont="1"/>
    <xf numFmtId="0" fontId="8" fillId="0" borderId="2" xfId="3" applyFont="1" applyBorder="1" applyAlignment="1">
      <alignment textRotation="45" wrapText="1"/>
    </xf>
    <xf numFmtId="0" fontId="9" fillId="0" borderId="0" xfId="4" applyFont="1"/>
    <xf numFmtId="0" fontId="1" fillId="0" borderId="0" xfId="3" applyFont="1"/>
    <xf numFmtId="0" fontId="10" fillId="2" borderId="3" xfId="3" applyFont="1" applyFill="1" applyBorder="1" applyAlignment="1">
      <alignment textRotation="45" wrapText="1"/>
    </xf>
    <xf numFmtId="0" fontId="11" fillId="0" borderId="0" xfId="3" applyFont="1"/>
    <xf numFmtId="0" fontId="9" fillId="0" borderId="1" xfId="4" applyFont="1" applyBorder="1"/>
    <xf numFmtId="0" fontId="1" fillId="0" borderId="0" xfId="1" applyFont="1"/>
    <xf numFmtId="0" fontId="9" fillId="0" borderId="0" xfId="1" applyFont="1"/>
    <xf numFmtId="0" fontId="9" fillId="0" borderId="0" xfId="0" applyFont="1"/>
    <xf numFmtId="1" fontId="1" fillId="0" borderId="0" xfId="1" applyNumberFormat="1" applyFont="1"/>
    <xf numFmtId="166" fontId="1" fillId="0" borderId="0" xfId="1" applyNumberFormat="1" applyFont="1"/>
    <xf numFmtId="164" fontId="1" fillId="0" borderId="0" xfId="1" applyNumberFormat="1" applyFont="1"/>
    <xf numFmtId="2" fontId="1" fillId="0" borderId="0" xfId="1" applyNumberFormat="1" applyFont="1"/>
    <xf numFmtId="165" fontId="1" fillId="0" borderId="0" xfId="1" applyNumberFormat="1" applyFont="1"/>
    <xf numFmtId="0" fontId="1" fillId="0" borderId="1" xfId="1" applyFont="1" applyBorder="1"/>
    <xf numFmtId="0" fontId="9" fillId="0" borderId="1" xfId="0" applyFont="1" applyBorder="1"/>
    <xf numFmtId="1" fontId="1" fillId="0" borderId="1" xfId="1" applyNumberFormat="1" applyFont="1" applyBorder="1"/>
    <xf numFmtId="166" fontId="1" fillId="0" borderId="1" xfId="1" applyNumberFormat="1" applyFont="1" applyBorder="1"/>
    <xf numFmtId="164" fontId="1" fillId="0" borderId="1" xfId="1" applyNumberFormat="1" applyFont="1" applyBorder="1"/>
    <xf numFmtId="2" fontId="1" fillId="0" borderId="1" xfId="1" applyNumberFormat="1" applyFont="1" applyBorder="1"/>
    <xf numFmtId="165" fontId="1" fillId="0" borderId="1" xfId="1" applyNumberFormat="1" applyFont="1" applyBorder="1"/>
    <xf numFmtId="0" fontId="9" fillId="0" borderId="0" xfId="3" applyFont="1"/>
    <xf numFmtId="0" fontId="9" fillId="0" borderId="0" xfId="3" applyFont="1" applyAlignment="1">
      <alignment horizontal="left"/>
    </xf>
    <xf numFmtId="0" fontId="10" fillId="0" borderId="0" xfId="3" applyFont="1"/>
    <xf numFmtId="0" fontId="9" fillId="0" borderId="0" xfId="3" applyFont="1" applyAlignment="1">
      <alignment horizontal="right"/>
    </xf>
    <xf numFmtId="0" fontId="12" fillId="0" borderId="0" xfId="3" applyFont="1"/>
  </cellXfs>
  <cellStyles count="5">
    <cellStyle name="Normal" xfId="0" builtinId="0"/>
    <cellStyle name="Normal 2" xfId="1" xr:uid="{81F40932-DE71-4492-8CE0-87EBE3525BCD}"/>
    <cellStyle name="Normal 2 2" xfId="4" xr:uid="{87B22241-5CFA-4CFC-8604-AF81AF77D69F}"/>
    <cellStyle name="Normal 3" xfId="3" xr:uid="{CC828136-9D1D-4091-AA83-CC1AF28AD743}"/>
    <cellStyle name="Percent 2" xfId="2" xr:uid="{D228E857-D97E-4BB2-8B2E-C708DD91B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nathan.m.capers\Downloads\AI_Capability_Crosswalk.xlsx" TargetMode="External"/><Relationship Id="rId1" Type="http://schemas.openxmlformats.org/officeDocument/2006/relationships/externalLinkPath" Target="AI_Capability_Crosswal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tics Dashboard"/>
      <sheetName val="Waffle Chart"/>
      <sheetName val="35M ICT"/>
      <sheetName val="Continuous vs. Point-in-Time"/>
      <sheetName val="Feasibility ROI Matrix"/>
      <sheetName val="GWA Analysis"/>
      <sheetName val="Task Data"/>
      <sheetName val="Task to GWA Mapping"/>
      <sheetName val="SME GWA Task Matrix"/>
      <sheetName val="AI GWA Score Comparison"/>
      <sheetName val="AI IWA Score Comparison"/>
      <sheetName val="AI IWA Task Matrix"/>
      <sheetName val="AI GWA Task Matrix"/>
      <sheetName val="GWA_Scores"/>
      <sheetName val="IWA_Data"/>
      <sheetName val="DIFC Correlation Table"/>
      <sheetName val="DIFC Data"/>
      <sheetName val="Box &amp; Whisker"/>
      <sheetName val="SME GWA Task Matr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GWA Title</v>
          </cell>
          <cell r="D1" t="str">
            <v>impact_scope_ai</v>
          </cell>
        </row>
        <row r="2">
          <cell r="B2" t="str">
            <v>Getting information</v>
          </cell>
          <cell r="D2">
            <v>0.29603631589930868</v>
          </cell>
        </row>
        <row r="3">
          <cell r="B3" t="str">
            <v>Monitoring processes, materials, or surroundings</v>
          </cell>
          <cell r="D3">
            <v>0.24462024657332535</v>
          </cell>
        </row>
        <row r="4">
          <cell r="B4" t="str">
            <v>Processing information</v>
          </cell>
          <cell r="D4">
            <v>0.32898971213891698</v>
          </cell>
        </row>
        <row r="5">
          <cell r="B5" t="str">
            <v>Evaluating information to determine compliance with standards</v>
          </cell>
          <cell r="D5">
            <v>0.18962161404416805</v>
          </cell>
        </row>
        <row r="6">
          <cell r="B6" t="str">
            <v>Analyzing data or information</v>
          </cell>
          <cell r="D6">
            <v>0.34317805621536407</v>
          </cell>
        </row>
        <row r="7">
          <cell r="B7" t="str">
            <v>Making decisions and solving problems</v>
          </cell>
          <cell r="D7">
            <v>0.27739895597524128</v>
          </cell>
        </row>
        <row r="8">
          <cell r="B8" t="str">
            <v>Thinking creatively</v>
          </cell>
          <cell r="D8">
            <v>0.31411922782970092</v>
          </cell>
        </row>
        <row r="9">
          <cell r="B9" t="str">
            <v>Scheduling work and activities</v>
          </cell>
          <cell r="D9">
            <v>0.28539525279008732</v>
          </cell>
        </row>
        <row r="10">
          <cell r="B10" t="str">
            <v>Controlling machines and processes</v>
          </cell>
          <cell r="D10">
            <v>0.2811719320496559</v>
          </cell>
        </row>
        <row r="11">
          <cell r="B11" t="str">
            <v>Operating vehicles, mechanized devices, or equipment</v>
          </cell>
          <cell r="D11">
            <v>0.33333333333333298</v>
          </cell>
        </row>
        <row r="12">
          <cell r="B12" t="str">
            <v>Working with computers</v>
          </cell>
          <cell r="D12">
            <v>0.35462825881889715</v>
          </cell>
        </row>
        <row r="13">
          <cell r="B13" t="str">
            <v>Drafting, laying out, and specifying technical devices, parts, and equipment</v>
          </cell>
          <cell r="D13">
            <v>0.30099999999999999</v>
          </cell>
        </row>
        <row r="14">
          <cell r="B14" t="str">
            <v>Documenting/recording information</v>
          </cell>
          <cell r="D14">
            <v>0.39780638743924057</v>
          </cell>
        </row>
        <row r="15">
          <cell r="B15" t="str">
            <v>Performing for or working directly with the public</v>
          </cell>
          <cell r="D15">
            <v>0.45757720465005436</v>
          </cell>
        </row>
        <row r="16">
          <cell r="B16" t="str">
            <v>Performing administrative activities</v>
          </cell>
          <cell r="D16">
            <v>0.22826980839118416</v>
          </cell>
        </row>
        <row r="17">
          <cell r="B17" t="str">
            <v>Monitoring and controlling resources</v>
          </cell>
          <cell r="D17">
            <v>0.18285205464299528</v>
          </cell>
        </row>
        <row r="18">
          <cell r="B18" t="str">
            <v>Identifying objects, actions, and events</v>
          </cell>
          <cell r="D18">
            <v>0.23956498767171452</v>
          </cell>
        </row>
        <row r="19">
          <cell r="B19" t="str">
            <v>Inspecting equipment, structures, or materials</v>
          </cell>
          <cell r="D19">
            <v>0.14422214777723819</v>
          </cell>
        </row>
        <row r="20">
          <cell r="B20" t="str">
            <v>Estimating the quantifiable characteristics of products, events, or information</v>
          </cell>
          <cell r="D20">
            <v>0.2370142768411346</v>
          </cell>
        </row>
        <row r="21">
          <cell r="B21" t="str">
            <v>Judging the qualities of objects, services, or people</v>
          </cell>
          <cell r="D21">
            <v>0.26596568602847104</v>
          </cell>
        </row>
        <row r="22">
          <cell r="B22" t="str">
            <v>Updating and using relevant knowledge</v>
          </cell>
          <cell r="D22">
            <v>0.54337393872277595</v>
          </cell>
        </row>
        <row r="23">
          <cell r="B23" t="str">
            <v>Developing objectives and strategies</v>
          </cell>
          <cell r="D23">
            <v>0.373455417160933</v>
          </cell>
        </row>
        <row r="24">
          <cell r="B24" t="str">
            <v>Organizing, planning, and prioritizing work</v>
          </cell>
          <cell r="D24">
            <v>0.44483901515151447</v>
          </cell>
        </row>
        <row r="25">
          <cell r="B25" t="str">
            <v>Interpreting the meaning of information for others</v>
          </cell>
          <cell r="D25">
            <v>0.52877242515518696</v>
          </cell>
        </row>
        <row r="26">
          <cell r="B26" t="str">
            <v>Communicating with supervisors, peers, or subordinates</v>
          </cell>
          <cell r="D26">
            <v>0.26805200903446696</v>
          </cell>
        </row>
        <row r="27">
          <cell r="B27" t="str">
            <v>Communicating with people outside the organization</v>
          </cell>
          <cell r="D27">
            <v>0.64503259960110571</v>
          </cell>
        </row>
        <row r="28">
          <cell r="B28" t="str">
            <v>Selling or influencing others</v>
          </cell>
          <cell r="D28">
            <v>0.30119557279778403</v>
          </cell>
        </row>
        <row r="29">
          <cell r="B29" t="str">
            <v>Coordinating the work and activities of others</v>
          </cell>
          <cell r="D29">
            <v>0.33500000000000002</v>
          </cell>
        </row>
        <row r="30">
          <cell r="B30" t="str">
            <v>Training and teaching others</v>
          </cell>
          <cell r="D30">
            <v>0.30468464195502548</v>
          </cell>
        </row>
        <row r="31">
          <cell r="B31" t="str">
            <v>Guiding, directing, and motivating subordinates</v>
          </cell>
          <cell r="D31">
            <v>0.20079198063695575</v>
          </cell>
        </row>
        <row r="32">
          <cell r="B32" t="str">
            <v>Providing consultation and advice to others</v>
          </cell>
          <cell r="D32">
            <v>0.34626863992238266</v>
          </cell>
        </row>
        <row r="33">
          <cell r="B33" t="str">
            <v>Staffing organizational units</v>
          </cell>
          <cell r="D33">
            <v>0.16382978723404251</v>
          </cell>
        </row>
        <row r="34">
          <cell r="B34" t="str">
            <v>Performing general physical activities</v>
          </cell>
          <cell r="D34">
            <v>0.13260556192470907</v>
          </cell>
        </row>
        <row r="35">
          <cell r="B35" t="str">
            <v>Handling and moving objects</v>
          </cell>
          <cell r="D35">
            <v>0.19485430681515062</v>
          </cell>
        </row>
        <row r="36">
          <cell r="B36" t="str">
            <v>Repairing and maintaining mechanical equipment</v>
          </cell>
          <cell r="D36">
            <v>0.21053686245928083</v>
          </cell>
        </row>
        <row r="37">
          <cell r="B37" t="str">
            <v>Repairing and maintaining electronic equipment</v>
          </cell>
          <cell r="D37">
            <v>0.20200000000000001</v>
          </cell>
        </row>
        <row r="38">
          <cell r="B38" t="str">
            <v>Establishing and maintaining interpersonal relationships</v>
          </cell>
          <cell r="D38">
            <v>0.12396694214876</v>
          </cell>
        </row>
        <row r="39">
          <cell r="B39" t="str">
            <v>Assisting and caring for others</v>
          </cell>
          <cell r="D39">
            <v>0.22760472765669926</v>
          </cell>
        </row>
        <row r="40">
          <cell r="B40" t="str">
            <v>Resolving conflicts and negotiating with others</v>
          </cell>
          <cell r="D40">
            <v>0.22278735294431865</v>
          </cell>
        </row>
        <row r="41">
          <cell r="B41" t="str">
            <v>Developing and building teams</v>
          </cell>
          <cell r="D41">
            <v>0.20200000000000001</v>
          </cell>
        </row>
        <row r="42">
          <cell r="B42" t="str">
            <v>Coaching and developing others</v>
          </cell>
          <cell r="D42">
            <v>0.23869637132254101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alpha val="50000"/>
          </a:schemeClr>
        </a:solidFill>
        <a:ln>
          <a:solidFill>
            <a:schemeClr val="tx1">
              <a:alpha val="20000"/>
            </a:schemeClr>
          </a:solidFill>
        </a:ln>
      </a:spPr>
      <a:bodyPr anchor="t"/>
      <a:lstStyle>
        <a:defPPr algn="ctr">
          <a:defRPr sz="700" kern="12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083D-EFF4-4965-883E-61EB343F9D24}">
  <dimension ref="A1:T568"/>
  <sheetViews>
    <sheetView tabSelected="1" workbookViewId="0">
      <selection activeCell="B11" sqref="B11"/>
    </sheetView>
  </sheetViews>
  <sheetFormatPr defaultRowHeight="15"/>
  <cols>
    <col min="1" max="1" width="16.42578125" style="1" bestFit="1" customWidth="1"/>
    <col min="2" max="2" width="67.28515625" style="1" bestFit="1" customWidth="1"/>
    <col min="3" max="3" width="23.5703125" bestFit="1" customWidth="1"/>
    <col min="4" max="4" width="13.140625" bestFit="1" customWidth="1"/>
    <col min="5" max="10" width="14.5703125" bestFit="1" customWidth="1"/>
    <col min="11" max="11" width="6" bestFit="1" customWidth="1"/>
    <col min="12" max="12" width="14.5703125" bestFit="1" customWidth="1"/>
    <col min="13" max="13" width="13.85546875" bestFit="1" customWidth="1"/>
    <col min="14" max="14" width="11" bestFit="1" customWidth="1"/>
    <col min="15" max="15" width="12" bestFit="1" customWidth="1"/>
    <col min="16" max="16" width="14.5703125" bestFit="1" customWidth="1"/>
    <col min="18" max="18" width="19.5703125" bestFit="1" customWidth="1"/>
    <col min="19" max="19" width="31.7109375" bestFit="1" customWidth="1"/>
  </cols>
  <sheetData>
    <row r="1" spans="1:16">
      <c r="A1" s="16" t="s">
        <v>0</v>
      </c>
      <c r="B1" s="17" t="s">
        <v>586</v>
      </c>
      <c r="C1" s="2" t="s">
        <v>1</v>
      </c>
      <c r="D1" s="18" t="s">
        <v>2</v>
      </c>
      <c r="E1" s="18" t="s">
        <v>581</v>
      </c>
      <c r="F1" s="18" t="s">
        <v>582</v>
      </c>
      <c r="G1" s="18" t="s">
        <v>3</v>
      </c>
      <c r="H1" s="18" t="s">
        <v>4</v>
      </c>
      <c r="I1" s="18" t="s">
        <v>5</v>
      </c>
      <c r="J1" s="18" t="s">
        <v>6</v>
      </c>
      <c r="K1" s="18" t="s">
        <v>7</v>
      </c>
      <c r="L1" s="18" t="s">
        <v>583</v>
      </c>
      <c r="M1" s="18" t="s">
        <v>584</v>
      </c>
      <c r="N1" s="18" t="s">
        <v>585</v>
      </c>
      <c r="O1" s="18" t="s">
        <v>8</v>
      </c>
      <c r="P1" s="18" t="s">
        <v>9</v>
      </c>
    </row>
    <row r="2" spans="1:16">
      <c r="A2" s="16" t="s">
        <v>10</v>
      </c>
      <c r="B2" s="16"/>
      <c r="C2" s="18"/>
      <c r="D2" s="18"/>
      <c r="E2" s="19"/>
      <c r="F2" s="20"/>
      <c r="G2" s="21"/>
      <c r="H2" s="19"/>
      <c r="I2" s="20"/>
      <c r="J2" s="21"/>
      <c r="K2" s="21"/>
      <c r="L2" s="21"/>
      <c r="M2" s="22"/>
      <c r="N2" s="22"/>
      <c r="O2" s="23"/>
      <c r="P2" s="20"/>
    </row>
    <row r="3" spans="1:16">
      <c r="A3" s="16" t="s">
        <v>11</v>
      </c>
      <c r="B3" s="16" t="s">
        <v>587</v>
      </c>
      <c r="C3" s="18" t="s">
        <v>12</v>
      </c>
      <c r="D3" s="18" t="s">
        <v>13</v>
      </c>
      <c r="E3" s="19">
        <v>7</v>
      </c>
      <c r="F3" s="20">
        <v>0.30556476742862476</v>
      </c>
      <c r="G3" s="21">
        <v>2.1389533720003735</v>
      </c>
      <c r="H3" s="19">
        <v>7</v>
      </c>
      <c r="I3" s="20">
        <v>0.30556476742862476</v>
      </c>
      <c r="J3" s="21">
        <v>2.1389533720003735</v>
      </c>
      <c r="K3" s="21">
        <v>0.51200000000000012</v>
      </c>
      <c r="L3" s="21">
        <v>1.0951441264641915</v>
      </c>
      <c r="M3" s="22" t="s">
        <v>15</v>
      </c>
      <c r="N3" s="22" t="s">
        <v>16</v>
      </c>
      <c r="O3" s="23">
        <v>1</v>
      </c>
      <c r="P3" s="20">
        <v>0.54531827687277212</v>
      </c>
    </row>
    <row r="4" spans="1:16">
      <c r="A4" s="16" t="s">
        <v>17</v>
      </c>
      <c r="B4" s="16" t="s">
        <v>588</v>
      </c>
      <c r="C4" s="18" t="s">
        <v>20</v>
      </c>
      <c r="D4" s="18" t="s">
        <v>20</v>
      </c>
      <c r="E4" s="19">
        <v>15</v>
      </c>
      <c r="F4" s="20">
        <v>0.36169425598386251</v>
      </c>
      <c r="G4" s="21">
        <v>5.4254138397579377</v>
      </c>
      <c r="H4" s="19">
        <v>25</v>
      </c>
      <c r="I4" s="20">
        <v>0.30146504035833099</v>
      </c>
      <c r="J4" s="21">
        <v>7.5366260089582751</v>
      </c>
      <c r="K4" s="21">
        <v>0.51200000000000012</v>
      </c>
      <c r="L4" s="21">
        <v>3.8587525165866379</v>
      </c>
      <c r="M4" s="22" t="s">
        <v>18</v>
      </c>
      <c r="N4" s="22" t="s">
        <v>16</v>
      </c>
      <c r="O4" s="23">
        <v>0.4</v>
      </c>
      <c r="P4" s="20">
        <v>0.9893687502675389</v>
      </c>
    </row>
    <row r="5" spans="1:16">
      <c r="A5" s="16" t="s">
        <v>19</v>
      </c>
      <c r="B5" s="16" t="s">
        <v>589</v>
      </c>
      <c r="C5" s="18" t="s">
        <v>20</v>
      </c>
      <c r="D5" s="18" t="s">
        <v>20</v>
      </c>
      <c r="E5" s="19"/>
      <c r="F5" s="20"/>
      <c r="G5" s="21"/>
      <c r="H5" s="19"/>
      <c r="I5" s="20"/>
      <c r="J5" s="21"/>
      <c r="K5" s="21"/>
      <c r="L5" s="21"/>
      <c r="M5" s="22"/>
      <c r="N5" s="22"/>
      <c r="O5" s="23" t="s">
        <v>14</v>
      </c>
      <c r="P5" s="20"/>
    </row>
    <row r="6" spans="1:16">
      <c r="A6" s="16" t="s">
        <v>21</v>
      </c>
      <c r="B6" s="16" t="s">
        <v>590</v>
      </c>
      <c r="C6" s="18" t="s">
        <v>20</v>
      </c>
      <c r="D6" s="18" t="s">
        <v>20</v>
      </c>
      <c r="E6" s="19">
        <v>11</v>
      </c>
      <c r="F6" s="20">
        <v>0.31306250278021058</v>
      </c>
      <c r="G6" s="21">
        <v>3.4436875305823165</v>
      </c>
      <c r="H6" s="19">
        <v>22</v>
      </c>
      <c r="I6" s="20">
        <v>0.26686667795126379</v>
      </c>
      <c r="J6" s="21">
        <v>5.8710669149278036</v>
      </c>
      <c r="K6" s="21">
        <v>0.51200000000000012</v>
      </c>
      <c r="L6" s="21">
        <v>3.0059862604430361</v>
      </c>
      <c r="M6" s="22" t="s">
        <v>22</v>
      </c>
      <c r="N6" s="22" t="s">
        <v>18</v>
      </c>
      <c r="O6" s="23">
        <v>0.5</v>
      </c>
      <c r="P6" s="20">
        <v>0.97307761634313283</v>
      </c>
    </row>
    <row r="7" spans="1:16">
      <c r="A7" s="16" t="s">
        <v>23</v>
      </c>
      <c r="B7" s="16" t="s">
        <v>591</v>
      </c>
      <c r="C7" s="18" t="s">
        <v>20</v>
      </c>
      <c r="D7" s="18" t="s">
        <v>20</v>
      </c>
      <c r="E7" s="19">
        <v>7</v>
      </c>
      <c r="F7" s="20">
        <v>0.32587075086666706</v>
      </c>
      <c r="G7" s="21">
        <v>2.2810952560666693</v>
      </c>
      <c r="H7" s="19">
        <v>18</v>
      </c>
      <c r="I7" s="20">
        <v>0.26158192446734202</v>
      </c>
      <c r="J7" s="21">
        <v>4.708474640412156</v>
      </c>
      <c r="K7" s="21">
        <v>0.51200000000000012</v>
      </c>
      <c r="L7" s="21">
        <v>2.4107390158910245</v>
      </c>
      <c r="M7" s="22" t="s">
        <v>22</v>
      </c>
      <c r="N7" s="22" t="s">
        <v>16</v>
      </c>
      <c r="O7" s="23">
        <v>0.2</v>
      </c>
      <c r="P7" s="20">
        <v>0.99316433589638686</v>
      </c>
    </row>
    <row r="8" spans="1:16">
      <c r="A8" s="16" t="s">
        <v>24</v>
      </c>
      <c r="B8" s="16" t="s">
        <v>588</v>
      </c>
      <c r="C8" s="18" t="s">
        <v>20</v>
      </c>
      <c r="D8" s="18" t="s">
        <v>20</v>
      </c>
      <c r="E8" s="19">
        <v>11</v>
      </c>
      <c r="F8" s="20">
        <v>0.30097694596490154</v>
      </c>
      <c r="G8" s="21">
        <v>3.3107464056139171</v>
      </c>
      <c r="H8" s="19">
        <v>22</v>
      </c>
      <c r="I8" s="20">
        <v>0.26082389954360924</v>
      </c>
      <c r="J8" s="21">
        <v>5.7381257899594029</v>
      </c>
      <c r="K8" s="21">
        <v>0.51200000000000012</v>
      </c>
      <c r="L8" s="21">
        <v>2.9379204044592151</v>
      </c>
      <c r="M8" s="22" t="s">
        <v>22</v>
      </c>
      <c r="N8" s="22" t="s">
        <v>18</v>
      </c>
      <c r="O8" s="23">
        <v>0.5</v>
      </c>
      <c r="P8" s="20">
        <v>0.97185120960168025</v>
      </c>
    </row>
    <row r="9" spans="1:16">
      <c r="A9" s="16" t="s">
        <v>25</v>
      </c>
      <c r="B9" s="16" t="s">
        <v>590</v>
      </c>
      <c r="C9" s="18" t="s">
        <v>20</v>
      </c>
      <c r="D9" s="18" t="s">
        <v>20</v>
      </c>
      <c r="E9" s="19">
        <v>10</v>
      </c>
      <c r="F9" s="20">
        <v>0.33864766179217048</v>
      </c>
      <c r="G9" s="21">
        <v>3.386476617921705</v>
      </c>
      <c r="H9" s="19">
        <v>21</v>
      </c>
      <c r="I9" s="20">
        <v>0.27685028582224724</v>
      </c>
      <c r="J9" s="21">
        <v>5.8138560022671921</v>
      </c>
      <c r="K9" s="21">
        <v>0.51200000000000012</v>
      </c>
      <c r="L9" s="21">
        <v>2.976694273160803</v>
      </c>
      <c r="M9" s="22" t="s">
        <v>18</v>
      </c>
      <c r="N9" s="22" t="s">
        <v>18</v>
      </c>
      <c r="O9" s="23">
        <v>1</v>
      </c>
      <c r="P9" s="20">
        <v>0.89858741184822288</v>
      </c>
    </row>
    <row r="10" spans="1:16">
      <c r="A10" s="16" t="s">
        <v>26</v>
      </c>
      <c r="B10" s="16" t="s">
        <v>592</v>
      </c>
      <c r="C10" s="18" t="s">
        <v>20</v>
      </c>
      <c r="D10" s="18" t="s">
        <v>27</v>
      </c>
      <c r="E10" s="19">
        <v>19</v>
      </c>
      <c r="F10" s="20">
        <v>0.31616721514515006</v>
      </c>
      <c r="G10" s="21">
        <v>6.0071770877578512</v>
      </c>
      <c r="H10" s="19">
        <v>30</v>
      </c>
      <c r="I10" s="20">
        <v>0.28115188240344463</v>
      </c>
      <c r="J10" s="21">
        <v>8.4345564721033384</v>
      </c>
      <c r="K10" s="21">
        <v>0.51200000000000012</v>
      </c>
      <c r="L10" s="21">
        <v>4.3184929137169101</v>
      </c>
      <c r="M10" s="22" t="s">
        <v>28</v>
      </c>
      <c r="N10" s="22" t="s">
        <v>16</v>
      </c>
      <c r="O10" s="23">
        <v>1.6</v>
      </c>
      <c r="P10" s="20">
        <v>0.87929869360783863</v>
      </c>
    </row>
    <row r="11" spans="1:16">
      <c r="A11" s="16" t="s">
        <v>29</v>
      </c>
      <c r="B11" s="16" t="s">
        <v>593</v>
      </c>
      <c r="C11" s="18" t="s">
        <v>20</v>
      </c>
      <c r="D11" s="18" t="s">
        <v>20</v>
      </c>
      <c r="E11" s="19"/>
      <c r="F11" s="20"/>
      <c r="G11" s="21"/>
      <c r="H11" s="19"/>
      <c r="I11" s="20"/>
      <c r="J11" s="21"/>
      <c r="K11" s="21"/>
      <c r="L11" s="21"/>
      <c r="M11" s="22"/>
      <c r="N11" s="22"/>
      <c r="O11" s="23" t="s">
        <v>14</v>
      </c>
      <c r="P11" s="20"/>
    </row>
    <row r="12" spans="1:16">
      <c r="A12" s="16" t="s">
        <v>30</v>
      </c>
      <c r="B12" s="16" t="s">
        <v>594</v>
      </c>
      <c r="C12" s="18" t="s">
        <v>20</v>
      </c>
      <c r="D12" s="18" t="s">
        <v>20</v>
      </c>
      <c r="E12" s="19">
        <v>18</v>
      </c>
      <c r="F12" s="20">
        <v>0.31757968875001708</v>
      </c>
      <c r="G12" s="21">
        <v>5.7164343975003078</v>
      </c>
      <c r="H12" s="19">
        <v>29</v>
      </c>
      <c r="I12" s="20">
        <v>0.27877931346346074</v>
      </c>
      <c r="J12" s="21">
        <v>8.084600090440361</v>
      </c>
      <c r="K12" s="21">
        <v>0.51200000000000012</v>
      </c>
      <c r="L12" s="21">
        <v>4.1393152463054657</v>
      </c>
      <c r="M12" s="22" t="s">
        <v>18</v>
      </c>
      <c r="N12" s="22" t="s">
        <v>18</v>
      </c>
      <c r="O12" s="23">
        <v>1</v>
      </c>
      <c r="P12" s="20">
        <v>0.94485475785222528</v>
      </c>
    </row>
    <row r="13" spans="1:16">
      <c r="A13" s="16" t="s">
        <v>31</v>
      </c>
      <c r="B13" s="16" t="s">
        <v>594</v>
      </c>
      <c r="C13" s="18" t="s">
        <v>20</v>
      </c>
      <c r="D13" s="18" t="s">
        <v>20</v>
      </c>
      <c r="E13" s="19">
        <v>18</v>
      </c>
      <c r="F13" s="20">
        <v>0.31757968875001708</v>
      </c>
      <c r="G13" s="21">
        <v>5.7164343975003078</v>
      </c>
      <c r="H13" s="19">
        <v>29</v>
      </c>
      <c r="I13" s="20">
        <v>0.27877931346346074</v>
      </c>
      <c r="J13" s="21">
        <v>8.084600090440361</v>
      </c>
      <c r="K13" s="21">
        <v>0.51200000000000012</v>
      </c>
      <c r="L13" s="21">
        <v>4.1393152463054657</v>
      </c>
      <c r="M13" s="22" t="s">
        <v>18</v>
      </c>
      <c r="N13" s="22" t="s">
        <v>18</v>
      </c>
      <c r="O13" s="23">
        <v>1</v>
      </c>
      <c r="P13" s="20">
        <v>0.94485475785222528</v>
      </c>
    </row>
    <row r="14" spans="1:16">
      <c r="A14" s="16" t="s">
        <v>32</v>
      </c>
      <c r="B14" s="16" t="s">
        <v>592</v>
      </c>
      <c r="C14" s="18" t="s">
        <v>12</v>
      </c>
      <c r="D14" s="18" t="s">
        <v>27</v>
      </c>
      <c r="E14" s="19">
        <v>14</v>
      </c>
      <c r="F14" s="20">
        <v>0.25695352373971736</v>
      </c>
      <c r="G14" s="21">
        <v>3.597349332356043</v>
      </c>
      <c r="H14" s="19">
        <v>14</v>
      </c>
      <c r="I14" s="20">
        <v>0.25695352373971736</v>
      </c>
      <c r="J14" s="21">
        <v>3.597349332356043</v>
      </c>
      <c r="K14" s="21">
        <v>0.51200000000000012</v>
      </c>
      <c r="L14" s="21">
        <v>1.8418428581662944</v>
      </c>
      <c r="M14" s="22" t="s">
        <v>15</v>
      </c>
      <c r="N14" s="22" t="s">
        <v>18</v>
      </c>
      <c r="O14" s="23">
        <v>2.5</v>
      </c>
      <c r="P14" s="20">
        <v>0.35182012271943114</v>
      </c>
    </row>
    <row r="15" spans="1:16">
      <c r="A15" s="16" t="s">
        <v>33</v>
      </c>
      <c r="B15" s="16" t="s">
        <v>595</v>
      </c>
      <c r="C15" s="18" t="s">
        <v>12</v>
      </c>
      <c r="D15" s="18" t="s">
        <v>13</v>
      </c>
      <c r="E15" s="19"/>
      <c r="F15" s="20"/>
      <c r="G15" s="21"/>
      <c r="H15" s="19"/>
      <c r="I15" s="20"/>
      <c r="J15" s="21"/>
      <c r="K15" s="21"/>
      <c r="L15" s="21"/>
      <c r="M15" s="22"/>
      <c r="N15" s="22"/>
      <c r="O15" s="23" t="s">
        <v>14</v>
      </c>
      <c r="P15" s="20"/>
    </row>
    <row r="16" spans="1:16">
      <c r="A16" s="16" t="s">
        <v>34</v>
      </c>
      <c r="B16" s="16" t="s">
        <v>595</v>
      </c>
      <c r="C16" s="18" t="s">
        <v>12</v>
      </c>
      <c r="D16" s="18" t="s">
        <v>27</v>
      </c>
      <c r="E16" s="19">
        <v>10</v>
      </c>
      <c r="F16" s="20">
        <v>0.26429842453850522</v>
      </c>
      <c r="G16" s="21">
        <v>2.6429842453850521</v>
      </c>
      <c r="H16" s="19">
        <v>10</v>
      </c>
      <c r="I16" s="20">
        <v>0.26429842453850522</v>
      </c>
      <c r="J16" s="21">
        <v>2.6429842453850521</v>
      </c>
      <c r="K16" s="21">
        <v>0.51200000000000012</v>
      </c>
      <c r="L16" s="21">
        <v>1.353207933637147</v>
      </c>
      <c r="M16" s="22" t="s">
        <v>22</v>
      </c>
      <c r="N16" s="22" t="s">
        <v>16</v>
      </c>
      <c r="O16" s="23">
        <v>0.2</v>
      </c>
      <c r="P16" s="20">
        <v>0.97862302013718139</v>
      </c>
    </row>
    <row r="17" spans="1:16">
      <c r="A17" s="16" t="s">
        <v>35</v>
      </c>
      <c r="B17" s="16" t="s">
        <v>595</v>
      </c>
      <c r="C17" s="18" t="s">
        <v>12</v>
      </c>
      <c r="D17" s="18" t="s">
        <v>27</v>
      </c>
      <c r="E17" s="19">
        <v>10</v>
      </c>
      <c r="F17" s="20">
        <v>0.26429842453850522</v>
      </c>
      <c r="G17" s="21">
        <v>2.6429842453850521</v>
      </c>
      <c r="H17" s="19">
        <v>10</v>
      </c>
      <c r="I17" s="20">
        <v>0.26429842453850522</v>
      </c>
      <c r="J17" s="21">
        <v>2.6429842453850521</v>
      </c>
      <c r="K17" s="21">
        <v>0.51200000000000012</v>
      </c>
      <c r="L17" s="21">
        <v>1.353207933637147</v>
      </c>
      <c r="M17" s="22" t="s">
        <v>22</v>
      </c>
      <c r="N17" s="22" t="s">
        <v>16</v>
      </c>
      <c r="O17" s="23">
        <v>0.2</v>
      </c>
      <c r="P17" s="20">
        <v>0.97862302013718139</v>
      </c>
    </row>
    <row r="18" spans="1:16">
      <c r="A18" s="16" t="s">
        <v>36</v>
      </c>
      <c r="B18" s="16" t="s">
        <v>595</v>
      </c>
      <c r="C18" s="18" t="s">
        <v>12</v>
      </c>
      <c r="D18" s="18" t="s">
        <v>27</v>
      </c>
      <c r="E18" s="19">
        <v>10</v>
      </c>
      <c r="F18" s="20">
        <v>0.26429842453850522</v>
      </c>
      <c r="G18" s="21">
        <v>2.6429842453850521</v>
      </c>
      <c r="H18" s="19">
        <v>10</v>
      </c>
      <c r="I18" s="20">
        <v>0.26429842453850522</v>
      </c>
      <c r="J18" s="21">
        <v>2.6429842453850521</v>
      </c>
      <c r="K18" s="21">
        <v>0.51200000000000012</v>
      </c>
      <c r="L18" s="21">
        <v>1.353207933637147</v>
      </c>
      <c r="M18" s="22" t="s">
        <v>18</v>
      </c>
      <c r="N18" s="22" t="s">
        <v>16</v>
      </c>
      <c r="O18" s="23">
        <v>0.4</v>
      </c>
      <c r="P18" s="20">
        <v>0.91964530278168211</v>
      </c>
    </row>
    <row r="19" spans="1:16">
      <c r="A19" s="16" t="s">
        <v>37</v>
      </c>
      <c r="B19" s="16" t="s">
        <v>595</v>
      </c>
      <c r="C19" s="18" t="s">
        <v>12</v>
      </c>
      <c r="D19" s="18" t="s">
        <v>27</v>
      </c>
      <c r="E19" s="19">
        <v>8</v>
      </c>
      <c r="F19" s="20">
        <v>0.29576956696038814</v>
      </c>
      <c r="G19" s="21">
        <v>2.3661565356831051</v>
      </c>
      <c r="H19" s="19">
        <v>8</v>
      </c>
      <c r="I19" s="20">
        <v>0.29576956696038814</v>
      </c>
      <c r="J19" s="21">
        <v>2.3661565356831051</v>
      </c>
      <c r="K19" s="21">
        <v>0.51200000000000012</v>
      </c>
      <c r="L19" s="21">
        <v>1.2114721462697502</v>
      </c>
      <c r="M19" s="22" t="s">
        <v>18</v>
      </c>
      <c r="N19" s="22" t="s">
        <v>18</v>
      </c>
      <c r="O19" s="23">
        <v>1</v>
      </c>
      <c r="P19" s="20">
        <v>0.59475856861577825</v>
      </c>
    </row>
    <row r="20" spans="1:16">
      <c r="A20" s="16" t="s">
        <v>38</v>
      </c>
      <c r="B20" s="16" t="s">
        <v>595</v>
      </c>
      <c r="C20" s="18" t="s">
        <v>12</v>
      </c>
      <c r="D20" s="18" t="s">
        <v>27</v>
      </c>
      <c r="E20" s="19">
        <v>8</v>
      </c>
      <c r="F20" s="20">
        <v>0.29576956696038814</v>
      </c>
      <c r="G20" s="21">
        <v>2.3661565356831051</v>
      </c>
      <c r="H20" s="19">
        <v>8</v>
      </c>
      <c r="I20" s="20">
        <v>0.29576956696038814</v>
      </c>
      <c r="J20" s="21">
        <v>2.3661565356831051</v>
      </c>
      <c r="K20" s="21">
        <v>0.51200000000000012</v>
      </c>
      <c r="L20" s="21">
        <v>1.2114721462697502</v>
      </c>
      <c r="M20" s="22" t="s">
        <v>15</v>
      </c>
      <c r="N20" s="22" t="s">
        <v>18</v>
      </c>
      <c r="O20" s="23">
        <v>2.5</v>
      </c>
      <c r="P20" s="20">
        <v>0.19016954047659632</v>
      </c>
    </row>
    <row r="21" spans="1:16">
      <c r="A21" s="16" t="s">
        <v>39</v>
      </c>
      <c r="B21" s="16" t="s">
        <v>590</v>
      </c>
      <c r="C21" s="18" t="s">
        <v>12</v>
      </c>
      <c r="D21" s="18" t="s">
        <v>13</v>
      </c>
      <c r="E21" s="19">
        <v>16</v>
      </c>
      <c r="F21" s="20">
        <v>0.30832531016362547</v>
      </c>
      <c r="G21" s="21">
        <v>4.9332049626180074</v>
      </c>
      <c r="H21" s="19">
        <v>16</v>
      </c>
      <c r="I21" s="20">
        <v>0.30832531016362547</v>
      </c>
      <c r="J21" s="21">
        <v>4.9332049626180074</v>
      </c>
      <c r="K21" s="21">
        <v>0.51200000000000012</v>
      </c>
      <c r="L21" s="21">
        <v>2.5258009408604205</v>
      </c>
      <c r="M21" s="22" t="s">
        <v>15</v>
      </c>
      <c r="N21" s="22" t="s">
        <v>16</v>
      </c>
      <c r="O21" s="23">
        <v>1</v>
      </c>
      <c r="P21" s="20">
        <v>0.86449259292546587</v>
      </c>
    </row>
    <row r="22" spans="1:16">
      <c r="A22" s="16" t="s">
        <v>40</v>
      </c>
      <c r="B22" s="16" t="s">
        <v>590</v>
      </c>
      <c r="C22" s="18" t="s">
        <v>20</v>
      </c>
      <c r="D22" s="18" t="s">
        <v>20</v>
      </c>
      <c r="E22" s="19">
        <v>9</v>
      </c>
      <c r="F22" s="20">
        <v>0.29484010680465356</v>
      </c>
      <c r="G22" s="21">
        <v>2.6535609612418822</v>
      </c>
      <c r="H22" s="19">
        <v>19</v>
      </c>
      <c r="I22" s="20">
        <v>0.25077753318116941</v>
      </c>
      <c r="J22" s="21">
        <v>4.7647731304422187</v>
      </c>
      <c r="K22" s="21">
        <v>0.51200000000000012</v>
      </c>
      <c r="L22" s="21">
        <v>2.4395638427864164</v>
      </c>
      <c r="M22" s="22" t="s">
        <v>18</v>
      </c>
      <c r="N22" s="22" t="s">
        <v>16</v>
      </c>
      <c r="O22" s="23">
        <v>0.4</v>
      </c>
      <c r="P22" s="20">
        <v>0.97381972678144912</v>
      </c>
    </row>
    <row r="23" spans="1:16">
      <c r="A23" s="16" t="s">
        <v>41</v>
      </c>
      <c r="B23" s="16" t="s">
        <v>596</v>
      </c>
      <c r="C23" s="18" t="s">
        <v>12</v>
      </c>
      <c r="D23" s="18" t="s">
        <v>13</v>
      </c>
      <c r="E23" s="19">
        <v>14</v>
      </c>
      <c r="F23" s="20">
        <v>0.30001495784650462</v>
      </c>
      <c r="G23" s="21">
        <v>4.2002094098510643</v>
      </c>
      <c r="H23" s="19">
        <v>14</v>
      </c>
      <c r="I23" s="20">
        <v>0.30001495784650462</v>
      </c>
      <c r="J23" s="21">
        <v>4.2002094098510643</v>
      </c>
      <c r="K23" s="21">
        <v>0.51200000000000012</v>
      </c>
      <c r="L23" s="21">
        <v>2.1505072178437454</v>
      </c>
      <c r="M23" s="22" t="s">
        <v>15</v>
      </c>
      <c r="N23" s="22" t="s">
        <v>18</v>
      </c>
      <c r="O23" s="23">
        <v>2.5</v>
      </c>
      <c r="P23" s="20">
        <v>0.42527051312763531</v>
      </c>
    </row>
    <row r="24" spans="1:16">
      <c r="A24" s="16" t="s">
        <v>42</v>
      </c>
      <c r="B24" s="16" t="s">
        <v>596</v>
      </c>
      <c r="C24" s="18" t="s">
        <v>12</v>
      </c>
      <c r="D24" s="18" t="s">
        <v>13</v>
      </c>
      <c r="E24" s="19"/>
      <c r="F24" s="20"/>
      <c r="G24" s="21"/>
      <c r="H24" s="19"/>
      <c r="I24" s="20"/>
      <c r="J24" s="21"/>
      <c r="K24" s="21"/>
      <c r="L24" s="21"/>
      <c r="M24" s="22"/>
      <c r="N24" s="22"/>
      <c r="O24" s="23" t="s">
        <v>14</v>
      </c>
      <c r="P24" s="20"/>
    </row>
    <row r="25" spans="1:16">
      <c r="A25" s="16" t="s">
        <v>43</v>
      </c>
      <c r="B25" s="16" t="s">
        <v>596</v>
      </c>
      <c r="C25" s="18" t="s">
        <v>12</v>
      </c>
      <c r="D25" s="18" t="s">
        <v>27</v>
      </c>
      <c r="E25" s="19">
        <v>14</v>
      </c>
      <c r="F25" s="20">
        <v>0.28205971004793701</v>
      </c>
      <c r="G25" s="21">
        <v>3.9488359406711182</v>
      </c>
      <c r="H25" s="19">
        <v>14</v>
      </c>
      <c r="I25" s="20">
        <v>0.28205971004793701</v>
      </c>
      <c r="J25" s="21">
        <v>3.9488359406711182</v>
      </c>
      <c r="K25" s="21">
        <v>0.51200000000000012</v>
      </c>
      <c r="L25" s="21">
        <v>2.0218040016236132</v>
      </c>
      <c r="M25" s="22" t="s">
        <v>15</v>
      </c>
      <c r="N25" s="22" t="s">
        <v>16</v>
      </c>
      <c r="O25" s="23">
        <v>1</v>
      </c>
      <c r="P25" s="20">
        <v>0.80344719888551508</v>
      </c>
    </row>
    <row r="26" spans="1:16">
      <c r="A26" s="16" t="s">
        <v>44</v>
      </c>
      <c r="B26" s="16" t="s">
        <v>596</v>
      </c>
      <c r="C26" s="18" t="s">
        <v>12</v>
      </c>
      <c r="D26" s="18" t="s">
        <v>27</v>
      </c>
      <c r="E26" s="19">
        <v>14</v>
      </c>
      <c r="F26" s="20">
        <v>0.28205971004793701</v>
      </c>
      <c r="G26" s="21">
        <v>3.9488359406711182</v>
      </c>
      <c r="H26" s="19">
        <v>14</v>
      </c>
      <c r="I26" s="20">
        <v>0.28205971004793701</v>
      </c>
      <c r="J26" s="21">
        <v>3.9488359406711182</v>
      </c>
      <c r="K26" s="21">
        <v>0.51200000000000012</v>
      </c>
      <c r="L26" s="21">
        <v>2.0218040016236132</v>
      </c>
      <c r="M26" s="22" t="s">
        <v>15</v>
      </c>
      <c r="N26" s="22" t="s">
        <v>18</v>
      </c>
      <c r="O26" s="23">
        <v>2.5</v>
      </c>
      <c r="P26" s="20">
        <v>0.39541627376156013</v>
      </c>
    </row>
    <row r="27" spans="1:16">
      <c r="A27" s="16" t="s">
        <v>45</v>
      </c>
      <c r="B27" s="16" t="s">
        <v>596</v>
      </c>
      <c r="C27" s="18" t="s">
        <v>12</v>
      </c>
      <c r="D27" s="18" t="s">
        <v>27</v>
      </c>
      <c r="E27" s="19">
        <v>13</v>
      </c>
      <c r="F27" s="20">
        <v>0.28661912213283069</v>
      </c>
      <c r="G27" s="21">
        <v>3.7260485877267993</v>
      </c>
      <c r="H27" s="19">
        <v>13</v>
      </c>
      <c r="I27" s="20">
        <v>0.28661912213283069</v>
      </c>
      <c r="J27" s="21">
        <v>3.7260485877267993</v>
      </c>
      <c r="K27" s="21">
        <v>0.51200000000000012</v>
      </c>
      <c r="L27" s="21">
        <v>1.9077368769161216</v>
      </c>
      <c r="M27" s="22" t="s">
        <v>28</v>
      </c>
      <c r="N27" s="22" t="s">
        <v>46</v>
      </c>
      <c r="O27" s="23">
        <v>8</v>
      </c>
      <c r="P27" s="20">
        <v>5.3806757061640891E-2</v>
      </c>
    </row>
    <row r="28" spans="1:16">
      <c r="A28" s="16" t="s">
        <v>47</v>
      </c>
      <c r="B28" s="16" t="s">
        <v>596</v>
      </c>
      <c r="C28" s="18" t="s">
        <v>12</v>
      </c>
      <c r="D28" s="18" t="s">
        <v>13</v>
      </c>
      <c r="E28" s="19">
        <v>15</v>
      </c>
      <c r="F28" s="20">
        <v>0.2881527571888034</v>
      </c>
      <c r="G28" s="21">
        <v>4.322291357832051</v>
      </c>
      <c r="H28" s="19">
        <v>15</v>
      </c>
      <c r="I28" s="20">
        <v>0.2881527571888034</v>
      </c>
      <c r="J28" s="21">
        <v>4.322291357832051</v>
      </c>
      <c r="K28" s="21">
        <v>0.51200000000000012</v>
      </c>
      <c r="L28" s="21">
        <v>2.2130131752100106</v>
      </c>
      <c r="M28" s="22" t="s">
        <v>18</v>
      </c>
      <c r="N28" s="22" t="s">
        <v>18</v>
      </c>
      <c r="O28" s="23">
        <v>1</v>
      </c>
      <c r="P28" s="20">
        <v>0.83043453580429771</v>
      </c>
    </row>
    <row r="29" spans="1:16">
      <c r="A29" s="16" t="s">
        <v>48</v>
      </c>
      <c r="B29" s="16" t="s">
        <v>596</v>
      </c>
      <c r="C29" s="18" t="s">
        <v>12</v>
      </c>
      <c r="D29" s="18" t="s">
        <v>13</v>
      </c>
      <c r="E29" s="19">
        <v>14</v>
      </c>
      <c r="F29" s="20">
        <v>0.28205971004793701</v>
      </c>
      <c r="G29" s="21">
        <v>3.9488359406711182</v>
      </c>
      <c r="H29" s="19">
        <v>14</v>
      </c>
      <c r="I29" s="20">
        <v>0.28205971004793701</v>
      </c>
      <c r="J29" s="21">
        <v>3.9488359406711182</v>
      </c>
      <c r="K29" s="21">
        <v>0.51200000000000012</v>
      </c>
      <c r="L29" s="21">
        <v>2.0218040016236132</v>
      </c>
      <c r="M29" s="22" t="s">
        <v>18</v>
      </c>
      <c r="N29" s="22" t="s">
        <v>18</v>
      </c>
      <c r="O29" s="23">
        <v>1</v>
      </c>
      <c r="P29" s="20">
        <v>0.80344719888551508</v>
      </c>
    </row>
    <row r="30" spans="1:16">
      <c r="A30" s="16" t="s">
        <v>49</v>
      </c>
      <c r="B30" s="16" t="s">
        <v>596</v>
      </c>
      <c r="C30" s="18" t="s">
        <v>12</v>
      </c>
      <c r="D30" s="18" t="s">
        <v>13</v>
      </c>
      <c r="E30" s="19">
        <v>12</v>
      </c>
      <c r="F30" s="20">
        <v>0.31962604342073575</v>
      </c>
      <c r="G30" s="21">
        <v>3.835512521048829</v>
      </c>
      <c r="H30" s="19">
        <v>12</v>
      </c>
      <c r="I30" s="20">
        <v>0.31962604342073575</v>
      </c>
      <c r="J30" s="21">
        <v>3.835512521048829</v>
      </c>
      <c r="K30" s="21">
        <v>0.51200000000000012</v>
      </c>
      <c r="L30" s="21">
        <v>1.963782410777001</v>
      </c>
      <c r="M30" s="22" t="s">
        <v>28</v>
      </c>
      <c r="N30" s="22" t="s">
        <v>16</v>
      </c>
      <c r="O30" s="23">
        <v>1.6</v>
      </c>
      <c r="P30" s="20">
        <v>0.6010249517427293</v>
      </c>
    </row>
    <row r="31" spans="1:16">
      <c r="A31" s="16" t="s">
        <v>50</v>
      </c>
      <c r="B31" s="16" t="s">
        <v>597</v>
      </c>
      <c r="C31" s="18" t="s">
        <v>20</v>
      </c>
      <c r="D31" s="18" t="s">
        <v>20</v>
      </c>
      <c r="E31" s="19">
        <v>14</v>
      </c>
      <c r="F31" s="20">
        <v>0.29061163800449419</v>
      </c>
      <c r="G31" s="21">
        <v>4.0685629320629184</v>
      </c>
      <c r="H31" s="19">
        <v>24</v>
      </c>
      <c r="I31" s="20">
        <v>0.25749062921930227</v>
      </c>
      <c r="J31" s="21">
        <v>6.1797751012632549</v>
      </c>
      <c r="K31" s="21">
        <v>0.51200000000000012</v>
      </c>
      <c r="L31" s="21">
        <v>3.1640448518467874</v>
      </c>
      <c r="M31" s="22" t="s">
        <v>15</v>
      </c>
      <c r="N31" s="22" t="s">
        <v>16</v>
      </c>
      <c r="O31" s="23">
        <v>1</v>
      </c>
      <c r="P31" s="20">
        <v>0.90918321052434758</v>
      </c>
    </row>
    <row r="32" spans="1:16">
      <c r="A32" s="16" t="s">
        <v>51</v>
      </c>
      <c r="B32" s="16" t="s">
        <v>596</v>
      </c>
      <c r="C32" s="18" t="s">
        <v>12</v>
      </c>
      <c r="D32" s="18" t="s">
        <v>13</v>
      </c>
      <c r="E32" s="19"/>
      <c r="F32" s="20"/>
      <c r="G32" s="21"/>
      <c r="H32" s="19"/>
      <c r="I32" s="20"/>
      <c r="J32" s="21"/>
      <c r="K32" s="21"/>
      <c r="L32" s="21"/>
      <c r="M32" s="22"/>
      <c r="N32" s="22"/>
      <c r="O32" s="23" t="s">
        <v>14</v>
      </c>
      <c r="P32" s="20"/>
    </row>
    <row r="33" spans="1:16">
      <c r="A33" s="16" t="s">
        <v>52</v>
      </c>
      <c r="B33" s="16" t="s">
        <v>590</v>
      </c>
      <c r="C33" s="18" t="s">
        <v>12</v>
      </c>
      <c r="D33" s="18" t="s">
        <v>13</v>
      </c>
      <c r="E33" s="19">
        <v>12</v>
      </c>
      <c r="F33" s="20">
        <v>0.30746862310410561</v>
      </c>
      <c r="G33" s="21">
        <v>3.6896234772492673</v>
      </c>
      <c r="H33" s="19">
        <v>12</v>
      </c>
      <c r="I33" s="20">
        <v>0.30746862310410561</v>
      </c>
      <c r="J33" s="21">
        <v>3.6896234772492673</v>
      </c>
      <c r="K33" s="21">
        <v>0.51200000000000012</v>
      </c>
      <c r="L33" s="21">
        <v>1.8890872203516254</v>
      </c>
      <c r="M33" s="22" t="s">
        <v>28</v>
      </c>
      <c r="N33" s="22" t="s">
        <v>46</v>
      </c>
      <c r="O33" s="23">
        <v>8</v>
      </c>
      <c r="P33" s="20">
        <v>5.2815181275783718E-2</v>
      </c>
    </row>
    <row r="34" spans="1:16">
      <c r="A34" s="16" t="s">
        <v>53</v>
      </c>
      <c r="B34" s="16" t="s">
        <v>591</v>
      </c>
      <c r="C34" s="18" t="s">
        <v>20</v>
      </c>
      <c r="D34" s="18" t="s">
        <v>20</v>
      </c>
      <c r="E34" s="19">
        <v>16</v>
      </c>
      <c r="F34" s="20">
        <v>0.29317216730392803</v>
      </c>
      <c r="G34" s="21">
        <v>4.6907546768628485</v>
      </c>
      <c r="H34" s="19">
        <v>26</v>
      </c>
      <c r="I34" s="20">
        <v>0.26161410946396868</v>
      </c>
      <c r="J34" s="21">
        <v>6.8019668460631859</v>
      </c>
      <c r="K34" s="21">
        <v>0.51200000000000012</v>
      </c>
      <c r="L34" s="21">
        <v>3.4826070251843522</v>
      </c>
      <c r="M34" s="22" t="s">
        <v>28</v>
      </c>
      <c r="N34" s="22" t="s">
        <v>16</v>
      </c>
      <c r="O34" s="23">
        <v>1.6</v>
      </c>
      <c r="P34" s="20">
        <v>0.82571460728710988</v>
      </c>
    </row>
    <row r="35" spans="1:16">
      <c r="A35" s="16" t="s">
        <v>54</v>
      </c>
      <c r="B35" s="16" t="s">
        <v>590</v>
      </c>
      <c r="C35" s="18" t="s">
        <v>20</v>
      </c>
      <c r="D35" s="18" t="s">
        <v>20</v>
      </c>
      <c r="E35" s="19"/>
      <c r="F35" s="20"/>
      <c r="G35" s="21"/>
      <c r="H35" s="19"/>
      <c r="I35" s="20"/>
      <c r="J35" s="21"/>
      <c r="K35" s="21"/>
      <c r="L35" s="21"/>
      <c r="M35" s="22"/>
      <c r="N35" s="22"/>
      <c r="O35" s="23" t="s">
        <v>14</v>
      </c>
      <c r="P35" s="20"/>
    </row>
    <row r="36" spans="1:16">
      <c r="A36" s="16" t="s">
        <v>55</v>
      </c>
      <c r="B36" s="16" t="s">
        <v>590</v>
      </c>
      <c r="C36" s="18" t="s">
        <v>20</v>
      </c>
      <c r="D36" s="18" t="s">
        <v>20</v>
      </c>
      <c r="E36" s="19">
        <v>11</v>
      </c>
      <c r="F36" s="20">
        <v>0.28965898107530763</v>
      </c>
      <c r="G36" s="21">
        <v>3.1862487918283842</v>
      </c>
      <c r="H36" s="19">
        <v>21</v>
      </c>
      <c r="I36" s="20">
        <v>0.25226004576327243</v>
      </c>
      <c r="J36" s="21">
        <v>5.2974609610287207</v>
      </c>
      <c r="K36" s="21">
        <v>0.51200000000000012</v>
      </c>
      <c r="L36" s="21">
        <v>2.7123000120467058</v>
      </c>
      <c r="M36" s="22" t="s">
        <v>18</v>
      </c>
      <c r="N36" s="22" t="s">
        <v>18</v>
      </c>
      <c r="O36" s="23">
        <v>1</v>
      </c>
      <c r="P36" s="20">
        <v>0.8803336969820813</v>
      </c>
    </row>
    <row r="37" spans="1:16">
      <c r="A37" s="16" t="s">
        <v>56</v>
      </c>
      <c r="B37" s="16" t="s">
        <v>588</v>
      </c>
      <c r="C37" s="18" t="s">
        <v>20</v>
      </c>
      <c r="D37" s="18" t="s">
        <v>20</v>
      </c>
      <c r="E37" s="19">
        <v>11</v>
      </c>
      <c r="F37" s="20">
        <v>0.26881764372139172</v>
      </c>
      <c r="G37" s="21">
        <v>2.956994080935309</v>
      </c>
      <c r="H37" s="19">
        <v>21</v>
      </c>
      <c r="I37" s="20">
        <v>0.24134315476836407</v>
      </c>
      <c r="J37" s="21">
        <v>5.0682062501356455</v>
      </c>
      <c r="K37" s="21">
        <v>0.51200000000000012</v>
      </c>
      <c r="L37" s="21">
        <v>2.5949216000694513</v>
      </c>
      <c r="M37" s="22" t="s">
        <v>18</v>
      </c>
      <c r="N37" s="22" t="s">
        <v>18</v>
      </c>
      <c r="O37" s="23">
        <v>1</v>
      </c>
      <c r="P37" s="20">
        <v>0.87069441680325721</v>
      </c>
    </row>
    <row r="38" spans="1:16">
      <c r="A38" s="16" t="s">
        <v>57</v>
      </c>
      <c r="B38" s="16" t="s">
        <v>597</v>
      </c>
      <c r="C38" s="18" t="s">
        <v>20</v>
      </c>
      <c r="D38" s="18" t="s">
        <v>20</v>
      </c>
      <c r="E38" s="19">
        <v>15</v>
      </c>
      <c r="F38" s="20">
        <v>0.30835133712914969</v>
      </c>
      <c r="G38" s="21">
        <v>4.6252700569372456</v>
      </c>
      <c r="H38" s="19">
        <v>25</v>
      </c>
      <c r="I38" s="20">
        <v>0.26945928904550326</v>
      </c>
      <c r="J38" s="21">
        <v>6.7364822261375812</v>
      </c>
      <c r="K38" s="21">
        <v>0.51200000000000012</v>
      </c>
      <c r="L38" s="21">
        <v>3.4490788997824424</v>
      </c>
      <c r="M38" s="22" t="s">
        <v>18</v>
      </c>
      <c r="N38" s="22" t="s">
        <v>46</v>
      </c>
      <c r="O38" s="23">
        <v>2</v>
      </c>
      <c r="P38" s="20">
        <v>0.7483666678085007</v>
      </c>
    </row>
    <row r="39" spans="1:16">
      <c r="A39" s="16" t="s">
        <v>58</v>
      </c>
      <c r="B39" s="16" t="s">
        <v>598</v>
      </c>
      <c r="C39" s="18" t="s">
        <v>20</v>
      </c>
      <c r="D39" s="18" t="s">
        <v>20</v>
      </c>
      <c r="E39" s="19">
        <v>14</v>
      </c>
      <c r="F39" s="20">
        <v>0.32787546741157086</v>
      </c>
      <c r="G39" s="21">
        <v>4.590256543761992</v>
      </c>
      <c r="H39" s="19">
        <v>24</v>
      </c>
      <c r="I39" s="20">
        <v>0.279227863040097</v>
      </c>
      <c r="J39" s="21">
        <v>6.7014687129623276</v>
      </c>
      <c r="K39" s="21">
        <v>0.51200000000000012</v>
      </c>
      <c r="L39" s="21">
        <v>3.4311519810367126</v>
      </c>
      <c r="M39" s="22" t="s">
        <v>22</v>
      </c>
      <c r="N39" s="22" t="s">
        <v>18</v>
      </c>
      <c r="O39" s="23">
        <v>0.5</v>
      </c>
      <c r="P39" s="20">
        <v>0.97920618170882057</v>
      </c>
    </row>
    <row r="40" spans="1:16">
      <c r="A40" s="16" t="s">
        <v>59</v>
      </c>
      <c r="B40" s="16" t="s">
        <v>599</v>
      </c>
      <c r="C40" s="18" t="s">
        <v>20</v>
      </c>
      <c r="D40" s="18" t="s">
        <v>20</v>
      </c>
      <c r="E40" s="19">
        <v>11</v>
      </c>
      <c r="F40" s="20">
        <v>0.36134491060952123</v>
      </c>
      <c r="G40" s="21">
        <v>3.9747940167047338</v>
      </c>
      <c r="H40" s="19">
        <v>21</v>
      </c>
      <c r="I40" s="20">
        <v>0.28980981837643194</v>
      </c>
      <c r="J40" s="21">
        <v>6.0860061859050703</v>
      </c>
      <c r="K40" s="21">
        <v>0.51200000000000012</v>
      </c>
      <c r="L40" s="21">
        <v>3.1160351671833966</v>
      </c>
      <c r="M40" s="22" t="s">
        <v>22</v>
      </c>
      <c r="N40" s="22" t="s">
        <v>16</v>
      </c>
      <c r="O40" s="23">
        <v>0.2</v>
      </c>
      <c r="P40" s="20">
        <v>0.99589729920938375</v>
      </c>
    </row>
    <row r="41" spans="1:16">
      <c r="A41" s="16" t="s">
        <v>60</v>
      </c>
      <c r="B41" s="16" t="s">
        <v>606</v>
      </c>
      <c r="C41" s="18" t="s">
        <v>20</v>
      </c>
      <c r="D41" s="18" t="s">
        <v>20</v>
      </c>
      <c r="E41" s="19">
        <v>8</v>
      </c>
      <c r="F41" s="20">
        <v>0.33612027119346044</v>
      </c>
      <c r="G41" s="21">
        <v>2.6889621695476835</v>
      </c>
      <c r="H41" s="19">
        <v>18</v>
      </c>
      <c r="I41" s="20">
        <v>0.26667635215266777</v>
      </c>
      <c r="J41" s="21">
        <v>4.80017433874802</v>
      </c>
      <c r="K41" s="21">
        <v>0.51200000000000012</v>
      </c>
      <c r="L41" s="21">
        <v>2.4576892614389867</v>
      </c>
      <c r="M41" s="22" t="s">
        <v>15</v>
      </c>
      <c r="N41" s="22" t="s">
        <v>16</v>
      </c>
      <c r="O41" s="23">
        <v>1</v>
      </c>
      <c r="P41" s="20">
        <v>0.85795931725060259</v>
      </c>
    </row>
    <row r="42" spans="1:16">
      <c r="A42" s="16" t="s">
        <v>61</v>
      </c>
      <c r="B42" s="16"/>
      <c r="C42" s="18"/>
      <c r="D42" s="18"/>
      <c r="E42" s="19"/>
      <c r="F42" s="20"/>
      <c r="G42" s="21"/>
      <c r="H42" s="19"/>
      <c r="I42" s="20"/>
      <c r="J42" s="21"/>
      <c r="K42" s="21"/>
      <c r="L42" s="21"/>
      <c r="M42" s="22"/>
      <c r="N42" s="22"/>
      <c r="O42" s="23" t="s">
        <v>14</v>
      </c>
      <c r="P42" s="20"/>
    </row>
    <row r="43" spans="1:16">
      <c r="A43" s="16" t="s">
        <v>62</v>
      </c>
      <c r="B43" s="16" t="s">
        <v>587</v>
      </c>
      <c r="C43" s="18" t="s">
        <v>12</v>
      </c>
      <c r="D43" s="18" t="s">
        <v>13</v>
      </c>
      <c r="E43" s="19">
        <v>7</v>
      </c>
      <c r="F43" s="20">
        <v>0.30556476742862476</v>
      </c>
      <c r="G43" s="21">
        <v>2.1389533720003735</v>
      </c>
      <c r="H43" s="19">
        <v>7</v>
      </c>
      <c r="I43" s="20">
        <v>0.30556476742862476</v>
      </c>
      <c r="J43" s="21">
        <v>2.1389533720003735</v>
      </c>
      <c r="K43" s="21">
        <v>0.51200000000000012</v>
      </c>
      <c r="L43" s="21">
        <v>1.0951441264641915</v>
      </c>
      <c r="M43" s="22" t="s">
        <v>15</v>
      </c>
      <c r="N43" s="22" t="s">
        <v>16</v>
      </c>
      <c r="O43" s="23">
        <v>1</v>
      </c>
      <c r="P43" s="20">
        <v>0.54531827687277212</v>
      </c>
    </row>
    <row r="44" spans="1:16">
      <c r="A44" s="16" t="s">
        <v>63</v>
      </c>
      <c r="B44" s="16" t="s">
        <v>588</v>
      </c>
      <c r="C44" s="18" t="s">
        <v>20</v>
      </c>
      <c r="D44" s="18" t="s">
        <v>20</v>
      </c>
      <c r="E44" s="19">
        <v>15</v>
      </c>
      <c r="F44" s="20">
        <v>0.36169425598386251</v>
      </c>
      <c r="G44" s="21">
        <v>5.4254138397579377</v>
      </c>
      <c r="H44" s="19">
        <v>21</v>
      </c>
      <c r="I44" s="20">
        <v>0.34455507160334492</v>
      </c>
      <c r="J44" s="21">
        <v>7.2356565036702429</v>
      </c>
      <c r="K44" s="21">
        <v>0.51200000000000012</v>
      </c>
      <c r="L44" s="21">
        <v>3.7046561298791651</v>
      </c>
      <c r="M44" s="22" t="s">
        <v>18</v>
      </c>
      <c r="N44" s="22" t="s">
        <v>16</v>
      </c>
      <c r="O44" s="23">
        <v>0.4</v>
      </c>
      <c r="P44" s="20">
        <v>0.98847633947382041</v>
      </c>
    </row>
    <row r="45" spans="1:16">
      <c r="A45" s="16" t="s">
        <v>64</v>
      </c>
      <c r="B45" s="16" t="s">
        <v>589</v>
      </c>
      <c r="C45" s="18" t="s">
        <v>20</v>
      </c>
      <c r="D45" s="18" t="s">
        <v>20</v>
      </c>
      <c r="E45" s="19"/>
      <c r="F45" s="20"/>
      <c r="G45" s="21"/>
      <c r="H45" s="19"/>
      <c r="I45" s="20"/>
      <c r="J45" s="21"/>
      <c r="K45" s="21"/>
      <c r="L45" s="21"/>
      <c r="M45" s="22"/>
      <c r="N45" s="22"/>
      <c r="O45" s="23" t="s">
        <v>14</v>
      </c>
      <c r="P45" s="20"/>
    </row>
    <row r="46" spans="1:16">
      <c r="A46" s="16" t="s">
        <v>65</v>
      </c>
      <c r="B46" s="16" t="s">
        <v>588</v>
      </c>
      <c r="C46" s="18" t="s">
        <v>20</v>
      </c>
      <c r="D46" s="18" t="s">
        <v>20</v>
      </c>
      <c r="E46" s="19">
        <v>8</v>
      </c>
      <c r="F46" s="20">
        <v>0.27542646254046876</v>
      </c>
      <c r="G46" s="21">
        <v>2.2034117003237501</v>
      </c>
      <c r="H46" s="19">
        <v>14</v>
      </c>
      <c r="I46" s="20">
        <v>0.28668959744543265</v>
      </c>
      <c r="J46" s="21">
        <v>4.0136543642360571</v>
      </c>
      <c r="K46" s="21">
        <v>0.51200000000000012</v>
      </c>
      <c r="L46" s="21">
        <v>2.0549910344888618</v>
      </c>
      <c r="M46" s="22" t="s">
        <v>15</v>
      </c>
      <c r="N46" s="22" t="s">
        <v>18</v>
      </c>
      <c r="O46" s="23">
        <v>2.5</v>
      </c>
      <c r="P46" s="20">
        <v>0.40322667137667467</v>
      </c>
    </row>
    <row r="47" spans="1:16">
      <c r="A47" s="16" t="s">
        <v>66</v>
      </c>
      <c r="B47" s="16" t="s">
        <v>600</v>
      </c>
      <c r="C47" s="18" t="s">
        <v>20</v>
      </c>
      <c r="D47" s="18" t="s">
        <v>20</v>
      </c>
      <c r="E47" s="19">
        <v>10</v>
      </c>
      <c r="F47" s="20">
        <v>0.24704883409425013</v>
      </c>
      <c r="G47" s="21">
        <v>2.4704883409425014</v>
      </c>
      <c r="H47" s="19">
        <v>16</v>
      </c>
      <c r="I47" s="20">
        <v>0.26754568780342547</v>
      </c>
      <c r="J47" s="21">
        <v>4.2807310048548075</v>
      </c>
      <c r="K47" s="21">
        <v>0.51200000000000012</v>
      </c>
      <c r="L47" s="21">
        <v>2.191734274485662</v>
      </c>
      <c r="M47" s="22" t="s">
        <v>18</v>
      </c>
      <c r="N47" s="22" t="s">
        <v>16</v>
      </c>
      <c r="O47" s="23">
        <v>0.4</v>
      </c>
      <c r="P47" s="20">
        <v>0.96776597537219289</v>
      </c>
    </row>
    <row r="48" spans="1:16">
      <c r="A48" s="16" t="s">
        <v>67</v>
      </c>
      <c r="B48" s="16" t="s">
        <v>594</v>
      </c>
      <c r="C48" s="18" t="s">
        <v>20</v>
      </c>
      <c r="D48" s="18" t="s">
        <v>20</v>
      </c>
      <c r="E48" s="19">
        <v>10</v>
      </c>
      <c r="F48" s="20">
        <v>0.28491727021427715</v>
      </c>
      <c r="G48" s="21">
        <v>2.8491727021427717</v>
      </c>
      <c r="H48" s="19">
        <v>16</v>
      </c>
      <c r="I48" s="20">
        <v>0.29121346037844242</v>
      </c>
      <c r="J48" s="21">
        <v>4.6594153660550788</v>
      </c>
      <c r="K48" s="21">
        <v>0.51200000000000012</v>
      </c>
      <c r="L48" s="21">
        <v>2.3856206674202007</v>
      </c>
      <c r="M48" s="22" t="s">
        <v>18</v>
      </c>
      <c r="N48" s="22" t="s">
        <v>16</v>
      </c>
      <c r="O48" s="23">
        <v>0.4</v>
      </c>
      <c r="P48" s="20">
        <v>0.97265511627000956</v>
      </c>
    </row>
    <row r="49" spans="1:16">
      <c r="A49" s="16" t="s">
        <v>68</v>
      </c>
      <c r="B49" s="16" t="s">
        <v>588</v>
      </c>
      <c r="C49" s="18" t="s">
        <v>20</v>
      </c>
      <c r="D49" s="18" t="s">
        <v>20</v>
      </c>
      <c r="E49" s="19">
        <v>10</v>
      </c>
      <c r="F49" s="20">
        <v>0.29179952770762874</v>
      </c>
      <c r="G49" s="21">
        <v>2.9179952770762876</v>
      </c>
      <c r="H49" s="19">
        <v>16</v>
      </c>
      <c r="I49" s="20">
        <v>0.29551487131178711</v>
      </c>
      <c r="J49" s="21">
        <v>4.7282379409885937</v>
      </c>
      <c r="K49" s="21">
        <v>0.51200000000000012</v>
      </c>
      <c r="L49" s="21">
        <v>2.4208578257861606</v>
      </c>
      <c r="M49" s="22" t="s">
        <v>18</v>
      </c>
      <c r="N49" s="22" t="s">
        <v>18</v>
      </c>
      <c r="O49" s="23">
        <v>1</v>
      </c>
      <c r="P49" s="20">
        <v>0.85423914712742</v>
      </c>
    </row>
    <row r="50" spans="1:16">
      <c r="A50" s="16" t="s">
        <v>69</v>
      </c>
      <c r="B50" s="16" t="s">
        <v>589</v>
      </c>
      <c r="C50" s="18" t="s">
        <v>20</v>
      </c>
      <c r="D50" s="18" t="s">
        <v>20</v>
      </c>
      <c r="E50" s="19">
        <v>17</v>
      </c>
      <c r="F50" s="20">
        <v>0.31443019219084695</v>
      </c>
      <c r="G50" s="21">
        <v>5.3453132672443981</v>
      </c>
      <c r="H50" s="19">
        <v>23</v>
      </c>
      <c r="I50" s="20">
        <v>0.31111112744159586</v>
      </c>
      <c r="J50" s="21">
        <v>7.1555559311567052</v>
      </c>
      <c r="K50" s="21">
        <v>0.51200000000000012</v>
      </c>
      <c r="L50" s="21">
        <v>3.6636446367522337</v>
      </c>
      <c r="M50" s="22" t="s">
        <v>15</v>
      </c>
      <c r="N50" s="22" t="s">
        <v>16</v>
      </c>
      <c r="O50" s="23">
        <v>1</v>
      </c>
      <c r="P50" s="20">
        <v>0.93066289336619046</v>
      </c>
    </row>
    <row r="51" spans="1:16">
      <c r="A51" s="16" t="s">
        <v>70</v>
      </c>
      <c r="B51" s="16" t="s">
        <v>589</v>
      </c>
      <c r="C51" s="18" t="s">
        <v>20</v>
      </c>
      <c r="D51" s="18" t="s">
        <v>20</v>
      </c>
      <c r="E51" s="19">
        <v>7</v>
      </c>
      <c r="F51" s="20">
        <v>0.30341492567922684</v>
      </c>
      <c r="G51" s="21">
        <v>2.1239044797545881</v>
      </c>
      <c r="H51" s="19">
        <v>13</v>
      </c>
      <c r="I51" s="20">
        <v>0.30262670335899189</v>
      </c>
      <c r="J51" s="21">
        <v>3.9341471436668947</v>
      </c>
      <c r="K51" s="21">
        <v>0.51200000000000012</v>
      </c>
      <c r="L51" s="21">
        <v>2.0142833375574507</v>
      </c>
      <c r="M51" s="22" t="s">
        <v>18</v>
      </c>
      <c r="N51" s="22" t="s">
        <v>18</v>
      </c>
      <c r="O51" s="23">
        <v>1</v>
      </c>
      <c r="P51" s="20">
        <v>0.80226749215388193</v>
      </c>
    </row>
    <row r="52" spans="1:16">
      <c r="A52" s="16" t="s">
        <v>71</v>
      </c>
      <c r="B52" s="16" t="s">
        <v>600</v>
      </c>
      <c r="C52" s="18" t="s">
        <v>20</v>
      </c>
      <c r="D52" s="18" t="s">
        <v>20</v>
      </c>
      <c r="E52" s="19">
        <v>4</v>
      </c>
      <c r="F52" s="20">
        <v>0.22949659224188323</v>
      </c>
      <c r="G52" s="21">
        <v>0.91798636896753294</v>
      </c>
      <c r="H52" s="19">
        <v>10</v>
      </c>
      <c r="I52" s="20">
        <v>0.27282290328798398</v>
      </c>
      <c r="J52" s="21">
        <v>2.72822903287984</v>
      </c>
      <c r="K52" s="21">
        <v>0.51200000000000012</v>
      </c>
      <c r="L52" s="21">
        <v>1.3968532648344785</v>
      </c>
      <c r="M52" s="22" t="s">
        <v>15</v>
      </c>
      <c r="N52" s="22" t="s">
        <v>18</v>
      </c>
      <c r="O52" s="23">
        <v>2.5</v>
      </c>
      <c r="P52" s="20">
        <v>0.2379163135944439</v>
      </c>
    </row>
    <row r="53" spans="1:16">
      <c r="A53" s="16" t="s">
        <v>72</v>
      </c>
      <c r="B53" s="16" t="s">
        <v>591</v>
      </c>
      <c r="C53" s="18" t="s">
        <v>20</v>
      </c>
      <c r="D53" s="18" t="s">
        <v>20</v>
      </c>
      <c r="E53" s="19">
        <v>8</v>
      </c>
      <c r="F53" s="20">
        <v>0.28467385173119952</v>
      </c>
      <c r="G53" s="21">
        <v>2.2773908138495962</v>
      </c>
      <c r="H53" s="19">
        <v>14</v>
      </c>
      <c r="I53" s="20">
        <v>0.29197381984013593</v>
      </c>
      <c r="J53" s="21">
        <v>4.0876334777619032</v>
      </c>
      <c r="K53" s="21">
        <v>0.51200000000000012</v>
      </c>
      <c r="L53" s="21">
        <v>2.0928683406140949</v>
      </c>
      <c r="M53" s="22" t="s">
        <v>15</v>
      </c>
      <c r="N53" s="22" t="s">
        <v>18</v>
      </c>
      <c r="O53" s="23">
        <v>2.5</v>
      </c>
      <c r="P53" s="20">
        <v>0.41204680671789051</v>
      </c>
    </row>
    <row r="54" spans="1:16">
      <c r="A54" s="16" t="s">
        <v>73</v>
      </c>
      <c r="B54" s="16" t="s">
        <v>593</v>
      </c>
      <c r="C54" s="18" t="s">
        <v>20</v>
      </c>
      <c r="D54" s="18" t="s">
        <v>20</v>
      </c>
      <c r="E54" s="19">
        <v>7</v>
      </c>
      <c r="F54" s="20">
        <v>0.24385272434848987</v>
      </c>
      <c r="G54" s="21">
        <v>1.7069690704394291</v>
      </c>
      <c r="H54" s="19">
        <v>13</v>
      </c>
      <c r="I54" s="20">
        <v>0.27055474879628733</v>
      </c>
      <c r="J54" s="21">
        <v>3.5172117343517351</v>
      </c>
      <c r="K54" s="21">
        <v>0.51200000000000012</v>
      </c>
      <c r="L54" s="21">
        <v>1.8008124079880887</v>
      </c>
      <c r="M54" s="22" t="s">
        <v>15</v>
      </c>
      <c r="N54" s="22" t="s">
        <v>16</v>
      </c>
      <c r="O54" s="23">
        <v>1</v>
      </c>
      <c r="P54" s="20">
        <v>0.7643135519683204</v>
      </c>
    </row>
    <row r="55" spans="1:16">
      <c r="A55" s="16" t="s">
        <v>74</v>
      </c>
      <c r="B55" s="16" t="s">
        <v>597</v>
      </c>
      <c r="C55" s="18" t="s">
        <v>20</v>
      </c>
      <c r="D55" s="18" t="s">
        <v>20</v>
      </c>
      <c r="E55" s="19">
        <v>10</v>
      </c>
      <c r="F55" s="20">
        <v>0.29638358797106151</v>
      </c>
      <c r="G55" s="21">
        <v>2.963835879710615</v>
      </c>
      <c r="H55" s="19">
        <v>16</v>
      </c>
      <c r="I55" s="20">
        <v>0.29837990897643263</v>
      </c>
      <c r="J55" s="21">
        <v>4.7740785436229221</v>
      </c>
      <c r="K55" s="21">
        <v>0.51200000000000012</v>
      </c>
      <c r="L55" s="21">
        <v>2.4443282143349365</v>
      </c>
      <c r="M55" s="22" t="s">
        <v>18</v>
      </c>
      <c r="N55" s="22" t="s">
        <v>16</v>
      </c>
      <c r="O55" s="23">
        <v>0.4</v>
      </c>
      <c r="P55" s="20">
        <v>0.97391902687615106</v>
      </c>
    </row>
    <row r="56" spans="1:16">
      <c r="A56" s="16" t="s">
        <v>75</v>
      </c>
      <c r="B56" s="16" t="s">
        <v>601</v>
      </c>
      <c r="C56" s="18" t="s">
        <v>12</v>
      </c>
      <c r="D56" s="18" t="s">
        <v>13</v>
      </c>
      <c r="E56" s="19">
        <v>10</v>
      </c>
      <c r="F56" s="20">
        <v>0.27970513327437863</v>
      </c>
      <c r="G56" s="21">
        <v>2.797051332743786</v>
      </c>
      <c r="H56" s="19">
        <v>10</v>
      </c>
      <c r="I56" s="20">
        <v>0.27970513327437863</v>
      </c>
      <c r="J56" s="21">
        <v>2.797051332743786</v>
      </c>
      <c r="K56" s="21">
        <v>0.51200000000000012</v>
      </c>
      <c r="L56" s="21">
        <v>1.4320902823648187</v>
      </c>
      <c r="M56" s="22" t="s">
        <v>15</v>
      </c>
      <c r="N56" s="22" t="s">
        <v>46</v>
      </c>
      <c r="O56" s="23">
        <v>5</v>
      </c>
      <c r="P56" s="20">
        <v>7.5815736178580534E-2</v>
      </c>
    </row>
    <row r="57" spans="1:16">
      <c r="A57" s="16" t="s">
        <v>76</v>
      </c>
      <c r="B57" s="16" t="s">
        <v>594</v>
      </c>
      <c r="C57" s="18" t="s">
        <v>12</v>
      </c>
      <c r="D57" s="18" t="s">
        <v>13</v>
      </c>
      <c r="E57" s="19">
        <v>11</v>
      </c>
      <c r="F57" s="20">
        <v>0.27949548079263892</v>
      </c>
      <c r="G57" s="21">
        <v>3.0744502887190279</v>
      </c>
      <c r="H57" s="19">
        <v>11</v>
      </c>
      <c r="I57" s="20">
        <v>0.27949548079263892</v>
      </c>
      <c r="J57" s="21">
        <v>3.0744502887190279</v>
      </c>
      <c r="K57" s="21">
        <v>0.51200000000000012</v>
      </c>
      <c r="L57" s="21">
        <v>1.5741185478241426</v>
      </c>
      <c r="M57" s="22" t="s">
        <v>15</v>
      </c>
      <c r="N57" s="22" t="s">
        <v>18</v>
      </c>
      <c r="O57" s="23">
        <v>2.5</v>
      </c>
      <c r="P57" s="20">
        <v>0.28390146817210266</v>
      </c>
    </row>
    <row r="58" spans="1:16">
      <c r="A58" s="16" t="s">
        <v>77</v>
      </c>
      <c r="B58" s="16" t="s">
        <v>590</v>
      </c>
      <c r="C58" s="18" t="s">
        <v>12</v>
      </c>
      <c r="D58" s="18" t="s">
        <v>13</v>
      </c>
      <c r="E58" s="19">
        <v>12</v>
      </c>
      <c r="F58" s="20">
        <v>0.30026855948951792</v>
      </c>
      <c r="G58" s="21">
        <v>3.603222713874215</v>
      </c>
      <c r="H58" s="19">
        <v>12</v>
      </c>
      <c r="I58" s="20">
        <v>0.30026855948951792</v>
      </c>
      <c r="J58" s="21">
        <v>3.603222713874215</v>
      </c>
      <c r="K58" s="21">
        <v>0.51200000000000012</v>
      </c>
      <c r="L58" s="21">
        <v>1.8448500295035986</v>
      </c>
      <c r="M58" s="22" t="s">
        <v>28</v>
      </c>
      <c r="N58" s="22" t="s">
        <v>18</v>
      </c>
      <c r="O58" s="23">
        <v>4</v>
      </c>
      <c r="P58" s="20">
        <v>0.17540529323932003</v>
      </c>
    </row>
    <row r="59" spans="1:16">
      <c r="A59" s="16" t="s">
        <v>78</v>
      </c>
      <c r="B59" s="16" t="s">
        <v>590</v>
      </c>
      <c r="C59" s="18" t="s">
        <v>20</v>
      </c>
      <c r="D59" s="18" t="s">
        <v>20</v>
      </c>
      <c r="E59" s="19">
        <v>12</v>
      </c>
      <c r="F59" s="20">
        <v>0.3252707785897106</v>
      </c>
      <c r="G59" s="21">
        <v>3.9032493430765269</v>
      </c>
      <c r="H59" s="19">
        <v>18</v>
      </c>
      <c r="I59" s="20">
        <v>0.31741622261049074</v>
      </c>
      <c r="J59" s="21">
        <v>5.7134920069888331</v>
      </c>
      <c r="K59" s="21">
        <v>0.51200000000000012</v>
      </c>
      <c r="L59" s="21">
        <v>2.9253079075782833</v>
      </c>
      <c r="M59" s="22" t="s">
        <v>28</v>
      </c>
      <c r="N59" s="22" t="s">
        <v>18</v>
      </c>
      <c r="O59" s="23">
        <v>4</v>
      </c>
      <c r="P59" s="20">
        <v>0.34846592760716449</v>
      </c>
    </row>
    <row r="60" spans="1:16">
      <c r="A60" s="16" t="s">
        <v>79</v>
      </c>
      <c r="B60" s="16" t="s">
        <v>590</v>
      </c>
      <c r="C60" s="18" t="s">
        <v>20</v>
      </c>
      <c r="D60" s="18" t="s">
        <v>20</v>
      </c>
      <c r="E60" s="19">
        <v>14</v>
      </c>
      <c r="F60" s="20">
        <v>0.30289957778465498</v>
      </c>
      <c r="G60" s="21">
        <v>4.2405940889851701</v>
      </c>
      <c r="H60" s="19">
        <v>20</v>
      </c>
      <c r="I60" s="20">
        <v>0.3025418376448738</v>
      </c>
      <c r="J60" s="21">
        <v>6.0508367528974762</v>
      </c>
      <c r="K60" s="21">
        <v>0.51200000000000012</v>
      </c>
      <c r="L60" s="21">
        <v>3.0980284174835084</v>
      </c>
      <c r="M60" s="22" t="s">
        <v>28</v>
      </c>
      <c r="N60" s="22" t="s">
        <v>16</v>
      </c>
      <c r="O60" s="23">
        <v>1.6</v>
      </c>
      <c r="P60" s="20">
        <v>0.78943524359752248</v>
      </c>
    </row>
    <row r="61" spans="1:16">
      <c r="A61" s="16" t="s">
        <v>80</v>
      </c>
      <c r="B61" s="16" t="s">
        <v>601</v>
      </c>
      <c r="C61" s="18" t="s">
        <v>12</v>
      </c>
      <c r="D61" s="18" t="s">
        <v>13</v>
      </c>
      <c r="E61" s="19">
        <v>8</v>
      </c>
      <c r="F61" s="20">
        <v>0.35900683060591776</v>
      </c>
      <c r="G61" s="21">
        <v>2.8720546448473421</v>
      </c>
      <c r="H61" s="19">
        <v>8</v>
      </c>
      <c r="I61" s="20">
        <v>0.35900683060591776</v>
      </c>
      <c r="J61" s="21">
        <v>2.8720546448473421</v>
      </c>
      <c r="K61" s="21">
        <v>0.51200000000000012</v>
      </c>
      <c r="L61" s="21">
        <v>1.4704919781618395</v>
      </c>
      <c r="M61" s="22" t="s">
        <v>15</v>
      </c>
      <c r="N61" s="22" t="s">
        <v>18</v>
      </c>
      <c r="O61" s="23">
        <v>2.5</v>
      </c>
      <c r="P61" s="20">
        <v>0.25704440696384323</v>
      </c>
    </row>
    <row r="62" spans="1:16">
      <c r="A62" s="16" t="s">
        <v>81</v>
      </c>
      <c r="B62" s="16" t="s">
        <v>596</v>
      </c>
      <c r="C62" s="18" t="s">
        <v>12</v>
      </c>
      <c r="D62" s="18" t="s">
        <v>13</v>
      </c>
      <c r="E62" s="19">
        <v>12</v>
      </c>
      <c r="F62" s="20">
        <v>0.2862018923212285</v>
      </c>
      <c r="G62" s="21">
        <v>3.434422707854742</v>
      </c>
      <c r="H62" s="19">
        <v>12</v>
      </c>
      <c r="I62" s="20">
        <v>0.2862018923212285</v>
      </c>
      <c r="J62" s="21">
        <v>3.434422707854742</v>
      </c>
      <c r="K62" s="21">
        <v>0.51200000000000012</v>
      </c>
      <c r="L62" s="21">
        <v>1.7584244264216284</v>
      </c>
      <c r="M62" s="22" t="s">
        <v>15</v>
      </c>
      <c r="N62" s="22" t="s">
        <v>46</v>
      </c>
      <c r="O62" s="23">
        <v>5</v>
      </c>
      <c r="P62" s="20">
        <v>0.11006871168227786</v>
      </c>
    </row>
    <row r="63" spans="1:16">
      <c r="A63" s="16" t="s">
        <v>82</v>
      </c>
      <c r="B63" s="16" t="s">
        <v>601</v>
      </c>
      <c r="C63" s="18" t="s">
        <v>20</v>
      </c>
      <c r="D63" s="18" t="s">
        <v>20</v>
      </c>
      <c r="E63" s="19">
        <v>9</v>
      </c>
      <c r="F63" s="20">
        <v>0.32965910748666882</v>
      </c>
      <c r="G63" s="21">
        <v>2.9669319673800194</v>
      </c>
      <c r="H63" s="19">
        <v>15</v>
      </c>
      <c r="I63" s="20">
        <v>0.31847830875282168</v>
      </c>
      <c r="J63" s="21">
        <v>4.7771746312923256</v>
      </c>
      <c r="K63" s="21">
        <v>0.51200000000000012</v>
      </c>
      <c r="L63" s="21">
        <v>2.4459134112216714</v>
      </c>
      <c r="M63" s="22" t="s">
        <v>18</v>
      </c>
      <c r="N63" s="22" t="s">
        <v>46</v>
      </c>
      <c r="O63" s="23">
        <v>2</v>
      </c>
      <c r="P63" s="20">
        <v>0.59929846839535506</v>
      </c>
    </row>
    <row r="64" spans="1:16">
      <c r="A64" s="16" t="s">
        <v>83</v>
      </c>
      <c r="B64" s="16" t="s">
        <v>588</v>
      </c>
      <c r="C64" s="18" t="s">
        <v>20</v>
      </c>
      <c r="D64" s="18" t="s">
        <v>20</v>
      </c>
      <c r="E64" s="19">
        <v>7</v>
      </c>
      <c r="F64" s="20">
        <v>0.32241369615391358</v>
      </c>
      <c r="G64" s="21">
        <v>2.2568958730773949</v>
      </c>
      <c r="H64" s="19">
        <v>13</v>
      </c>
      <c r="I64" s="20">
        <v>0.31285681053766934</v>
      </c>
      <c r="J64" s="21">
        <v>4.0671385369897015</v>
      </c>
      <c r="K64" s="21">
        <v>0.51200000000000012</v>
      </c>
      <c r="L64" s="21">
        <v>2.0823749309387276</v>
      </c>
      <c r="M64" s="22" t="s">
        <v>22</v>
      </c>
      <c r="N64" s="22" t="s">
        <v>18</v>
      </c>
      <c r="O64" s="23">
        <v>0.5</v>
      </c>
      <c r="P64" s="20">
        <v>0.9454896543154786</v>
      </c>
    </row>
    <row r="65" spans="1:16">
      <c r="A65" s="16" t="s">
        <v>84</v>
      </c>
      <c r="B65" s="16" t="s">
        <v>599</v>
      </c>
      <c r="C65" s="18" t="s">
        <v>20</v>
      </c>
      <c r="D65" s="18" t="s">
        <v>20</v>
      </c>
      <c r="E65" s="19">
        <v>11</v>
      </c>
      <c r="F65" s="20">
        <v>0.36134491060952123</v>
      </c>
      <c r="G65" s="21">
        <v>3.9747940167047338</v>
      </c>
      <c r="H65" s="19">
        <v>17</v>
      </c>
      <c r="I65" s="20">
        <v>0.34029627533041412</v>
      </c>
      <c r="J65" s="21">
        <v>5.7850366806170399</v>
      </c>
      <c r="K65" s="21">
        <v>0.51200000000000012</v>
      </c>
      <c r="L65" s="21">
        <v>2.9619387804759252</v>
      </c>
      <c r="M65" s="22" t="s">
        <v>22</v>
      </c>
      <c r="N65" s="22" t="s">
        <v>16</v>
      </c>
      <c r="O65" s="23">
        <v>0.2</v>
      </c>
      <c r="P65" s="20">
        <v>0.99546129231535785</v>
      </c>
    </row>
    <row r="66" spans="1:16">
      <c r="A66" s="16" t="s">
        <v>85</v>
      </c>
      <c r="B66" s="16" t="s">
        <v>606</v>
      </c>
      <c r="C66" s="18" t="s">
        <v>20</v>
      </c>
      <c r="D66" s="18" t="s">
        <v>20</v>
      </c>
      <c r="E66" s="19">
        <v>8</v>
      </c>
      <c r="F66" s="20">
        <v>0.33612027119346044</v>
      </c>
      <c r="G66" s="21">
        <v>2.6889621695476835</v>
      </c>
      <c r="H66" s="19">
        <v>14</v>
      </c>
      <c r="I66" s="20">
        <v>0.32137177381857068</v>
      </c>
      <c r="J66" s="21">
        <v>4.4992048334599897</v>
      </c>
      <c r="K66" s="21">
        <v>0.51200000000000012</v>
      </c>
      <c r="L66" s="21">
        <v>2.3035928747315153</v>
      </c>
      <c r="M66" s="22" t="s">
        <v>15</v>
      </c>
      <c r="N66" s="22" t="s">
        <v>16</v>
      </c>
      <c r="O66" s="23">
        <v>1</v>
      </c>
      <c r="P66" s="20">
        <v>0.84143445074670498</v>
      </c>
    </row>
    <row r="67" spans="1:16">
      <c r="A67" s="16" t="s">
        <v>86</v>
      </c>
      <c r="B67" s="16"/>
      <c r="C67" s="18"/>
      <c r="D67" s="18"/>
      <c r="E67" s="19"/>
      <c r="F67" s="20"/>
      <c r="G67" s="21"/>
      <c r="H67" s="19"/>
      <c r="I67" s="20"/>
      <c r="J67" s="21"/>
      <c r="K67" s="21"/>
      <c r="L67" s="21"/>
      <c r="M67" s="22"/>
      <c r="N67" s="22"/>
      <c r="O67" s="23" t="s">
        <v>14</v>
      </c>
      <c r="P67" s="20"/>
    </row>
    <row r="68" spans="1:16">
      <c r="A68" s="16" t="s">
        <v>87</v>
      </c>
      <c r="B68" s="16"/>
      <c r="C68" s="18"/>
      <c r="D68" s="18"/>
      <c r="E68" s="19"/>
      <c r="F68" s="20"/>
      <c r="G68" s="21"/>
      <c r="H68" s="19"/>
      <c r="I68" s="20"/>
      <c r="J68" s="21"/>
      <c r="K68" s="21"/>
      <c r="L68" s="21"/>
      <c r="M68" s="22"/>
      <c r="N68" s="22"/>
      <c r="O68" s="23"/>
      <c r="P68" s="20"/>
    </row>
    <row r="69" spans="1:16">
      <c r="A69" s="16" t="s">
        <v>88</v>
      </c>
      <c r="B69" s="16"/>
      <c r="C69" s="18"/>
      <c r="D69" s="18"/>
      <c r="E69" s="19"/>
      <c r="F69" s="20"/>
      <c r="G69" s="21"/>
      <c r="H69" s="19"/>
      <c r="I69" s="20"/>
      <c r="J69" s="21"/>
      <c r="K69" s="21"/>
      <c r="L69" s="21"/>
      <c r="M69" s="22"/>
      <c r="N69" s="22"/>
      <c r="O69" s="23" t="s">
        <v>14</v>
      </c>
      <c r="P69" s="20"/>
    </row>
    <row r="70" spans="1:16">
      <c r="A70" s="16" t="s">
        <v>89</v>
      </c>
      <c r="B70" s="16" t="s">
        <v>587</v>
      </c>
      <c r="C70" s="18" t="s">
        <v>12</v>
      </c>
      <c r="D70" s="18" t="s">
        <v>13</v>
      </c>
      <c r="E70" s="19">
        <v>7</v>
      </c>
      <c r="F70" s="20">
        <v>0.30556476742862476</v>
      </c>
      <c r="G70" s="21">
        <v>2.1389533720003735</v>
      </c>
      <c r="H70" s="19">
        <v>7</v>
      </c>
      <c r="I70" s="20">
        <v>0.30556476742862476</v>
      </c>
      <c r="J70" s="21">
        <v>2.1389533720003735</v>
      </c>
      <c r="K70" s="21">
        <v>0.51200000000000012</v>
      </c>
      <c r="L70" s="21">
        <v>1.0951441264641915</v>
      </c>
      <c r="M70" s="22" t="s">
        <v>15</v>
      </c>
      <c r="N70" s="22" t="s">
        <v>16</v>
      </c>
      <c r="O70" s="23">
        <v>1</v>
      </c>
      <c r="P70" s="20">
        <v>0.54531827687277212</v>
      </c>
    </row>
    <row r="71" spans="1:16">
      <c r="A71" s="16" t="s">
        <v>90</v>
      </c>
      <c r="B71" s="16" t="s">
        <v>588</v>
      </c>
      <c r="C71" s="18" t="s">
        <v>20</v>
      </c>
      <c r="D71" s="18" t="s">
        <v>20</v>
      </c>
      <c r="E71" s="19">
        <v>15</v>
      </c>
      <c r="F71" s="20">
        <v>0.36169425598386251</v>
      </c>
      <c r="G71" s="21">
        <v>5.4254138397579377</v>
      </c>
      <c r="H71" s="19">
        <v>17</v>
      </c>
      <c r="I71" s="20">
        <v>0.35476316517064971</v>
      </c>
      <c r="J71" s="21">
        <v>6.0309738079010451</v>
      </c>
      <c r="K71" s="21">
        <v>0.51200000000000012</v>
      </c>
      <c r="L71" s="21">
        <v>3.0878585896453359</v>
      </c>
      <c r="M71" s="22" t="s">
        <v>18</v>
      </c>
      <c r="N71" s="22" t="s">
        <v>16</v>
      </c>
      <c r="O71" s="23">
        <v>0.4</v>
      </c>
      <c r="P71" s="20">
        <v>0.98349642760053091</v>
      </c>
    </row>
    <row r="72" spans="1:16">
      <c r="A72" s="16" t="s">
        <v>91</v>
      </c>
      <c r="B72" s="16" t="s">
        <v>588</v>
      </c>
      <c r="C72" s="18" t="s">
        <v>20</v>
      </c>
      <c r="D72" s="18" t="s">
        <v>20</v>
      </c>
      <c r="E72" s="19">
        <v>9</v>
      </c>
      <c r="F72" s="20">
        <v>0.27276506195201</v>
      </c>
      <c r="G72" s="21">
        <v>2.4548855575680899</v>
      </c>
      <c r="H72" s="19">
        <v>11</v>
      </c>
      <c r="I72" s="20">
        <v>0.27822232051919976</v>
      </c>
      <c r="J72" s="21">
        <v>3.0604455257111973</v>
      </c>
      <c r="K72" s="21">
        <v>0.51200000000000012</v>
      </c>
      <c r="L72" s="21">
        <v>1.5669481091641333</v>
      </c>
      <c r="M72" s="22" t="s">
        <v>15</v>
      </c>
      <c r="N72" s="22" t="s">
        <v>16</v>
      </c>
      <c r="O72" s="23">
        <v>1</v>
      </c>
      <c r="P72" s="20">
        <v>0.710591738392502</v>
      </c>
    </row>
    <row r="73" spans="1:16">
      <c r="A73" s="16" t="s">
        <v>92</v>
      </c>
      <c r="B73" s="16" t="s">
        <v>588</v>
      </c>
      <c r="C73" s="18" t="s">
        <v>20</v>
      </c>
      <c r="D73" s="18" t="s">
        <v>20</v>
      </c>
      <c r="E73" s="19">
        <v>9</v>
      </c>
      <c r="F73" s="20">
        <v>0.26314302068039602</v>
      </c>
      <c r="G73" s="21">
        <v>2.3682871861235641</v>
      </c>
      <c r="H73" s="19">
        <v>11</v>
      </c>
      <c r="I73" s="20">
        <v>0.27034974129697015</v>
      </c>
      <c r="J73" s="21">
        <v>2.9738471542666716</v>
      </c>
      <c r="K73" s="21">
        <v>0.51200000000000012</v>
      </c>
      <c r="L73" s="21">
        <v>1.5226097429845362</v>
      </c>
      <c r="M73" s="22" t="s">
        <v>15</v>
      </c>
      <c r="N73" s="22" t="s">
        <v>16</v>
      </c>
      <c r="O73" s="23">
        <v>1</v>
      </c>
      <c r="P73" s="20">
        <v>0.69864454197324777</v>
      </c>
    </row>
    <row r="74" spans="1:16">
      <c r="A74" s="16" t="s">
        <v>93</v>
      </c>
      <c r="B74" s="16" t="s">
        <v>601</v>
      </c>
      <c r="C74" s="18" t="s">
        <v>20</v>
      </c>
      <c r="D74" s="18" t="s">
        <v>20</v>
      </c>
      <c r="E74" s="19">
        <v>9</v>
      </c>
      <c r="F74" s="20">
        <v>0.2931878932221188</v>
      </c>
      <c r="G74" s="21">
        <v>2.6386910389990694</v>
      </c>
      <c r="H74" s="19">
        <v>11</v>
      </c>
      <c r="I74" s="20">
        <v>0.2949319097401979</v>
      </c>
      <c r="J74" s="21">
        <v>3.2442510071421768</v>
      </c>
      <c r="K74" s="21">
        <v>0.51200000000000012</v>
      </c>
      <c r="L74" s="21">
        <v>1.6610565156567949</v>
      </c>
      <c r="M74" s="22" t="s">
        <v>18</v>
      </c>
      <c r="N74" s="22" t="s">
        <v>18</v>
      </c>
      <c r="O74" s="23">
        <v>1</v>
      </c>
      <c r="P74" s="20">
        <v>0.7339794970078295</v>
      </c>
    </row>
    <row r="75" spans="1:16">
      <c r="A75" s="16" t="s">
        <v>94</v>
      </c>
      <c r="B75" s="16" t="s">
        <v>588</v>
      </c>
      <c r="C75" s="18" t="s">
        <v>20</v>
      </c>
      <c r="D75" s="18" t="s">
        <v>20</v>
      </c>
      <c r="E75" s="19">
        <v>8</v>
      </c>
      <c r="F75" s="20">
        <v>0.27810990804872693</v>
      </c>
      <c r="G75" s="21">
        <v>2.2248792643898154</v>
      </c>
      <c r="H75" s="19">
        <v>10</v>
      </c>
      <c r="I75" s="20">
        <v>0.28304392325329231</v>
      </c>
      <c r="J75" s="21">
        <v>2.8304392325329228</v>
      </c>
      <c r="K75" s="21">
        <v>0.51200000000000012</v>
      </c>
      <c r="L75" s="21">
        <v>1.4491848870568569</v>
      </c>
      <c r="M75" s="22" t="s">
        <v>18</v>
      </c>
      <c r="N75" s="22" t="s">
        <v>16</v>
      </c>
      <c r="O75" s="23">
        <v>0.4</v>
      </c>
      <c r="P75" s="20">
        <v>0.92920782609724784</v>
      </c>
    </row>
    <row r="76" spans="1:16">
      <c r="A76" s="16" t="s">
        <v>95</v>
      </c>
      <c r="B76" s="16" t="s">
        <v>593</v>
      </c>
      <c r="C76" s="18" t="s">
        <v>20</v>
      </c>
      <c r="D76" s="18" t="s">
        <v>20</v>
      </c>
      <c r="E76" s="19">
        <v>16</v>
      </c>
      <c r="F76" s="20">
        <v>0.2904507090702943</v>
      </c>
      <c r="G76" s="21">
        <v>4.6472113451247088</v>
      </c>
      <c r="H76" s="19">
        <v>18</v>
      </c>
      <c r="I76" s="20">
        <v>0.29182062851487867</v>
      </c>
      <c r="J76" s="21">
        <v>5.2527713132678162</v>
      </c>
      <c r="K76" s="21">
        <v>0.51200000000000012</v>
      </c>
      <c r="L76" s="21">
        <v>2.6894189123931227</v>
      </c>
      <c r="M76" s="22" t="s">
        <v>18</v>
      </c>
      <c r="N76" s="22" t="s">
        <v>16</v>
      </c>
      <c r="O76" s="23">
        <v>0.4</v>
      </c>
      <c r="P76" s="20">
        <v>0.9783578302681083</v>
      </c>
    </row>
    <row r="77" spans="1:16">
      <c r="A77" s="16" t="s">
        <v>96</v>
      </c>
      <c r="B77" s="16" t="s">
        <v>593</v>
      </c>
      <c r="C77" s="18" t="s">
        <v>20</v>
      </c>
      <c r="D77" s="18" t="s">
        <v>20</v>
      </c>
      <c r="E77" s="19">
        <v>18</v>
      </c>
      <c r="F77" s="20">
        <v>0.28946046535165615</v>
      </c>
      <c r="G77" s="21">
        <v>5.2102883763298102</v>
      </c>
      <c r="H77" s="19">
        <v>20</v>
      </c>
      <c r="I77" s="20">
        <v>0.2907924172236459</v>
      </c>
      <c r="J77" s="21">
        <v>5.8158483444729185</v>
      </c>
      <c r="K77" s="21">
        <v>0.51200000000000012</v>
      </c>
      <c r="L77" s="21">
        <v>2.977714352370135</v>
      </c>
      <c r="M77" s="22" t="s">
        <v>15</v>
      </c>
      <c r="N77" s="22" t="s">
        <v>18</v>
      </c>
      <c r="O77" s="23">
        <v>2.5</v>
      </c>
      <c r="P77" s="20">
        <v>0.58655223816832913</v>
      </c>
    </row>
    <row r="78" spans="1:16">
      <c r="A78" s="16" t="s">
        <v>97</v>
      </c>
      <c r="B78" s="16" t="s">
        <v>601</v>
      </c>
      <c r="C78" s="18" t="s">
        <v>20</v>
      </c>
      <c r="D78" s="18" t="s">
        <v>20</v>
      </c>
      <c r="E78" s="19">
        <v>12</v>
      </c>
      <c r="F78" s="20">
        <v>0.32898802113336628</v>
      </c>
      <c r="G78" s="21">
        <v>3.9478562536003956</v>
      </c>
      <c r="H78" s="19">
        <v>14</v>
      </c>
      <c r="I78" s="20">
        <v>0.32524401583882162</v>
      </c>
      <c r="J78" s="21">
        <v>4.553416221743503</v>
      </c>
      <c r="K78" s="21">
        <v>0.51200000000000012</v>
      </c>
      <c r="L78" s="21">
        <v>2.331349105532674</v>
      </c>
      <c r="M78" s="22" t="s">
        <v>18</v>
      </c>
      <c r="N78" s="22" t="s">
        <v>46</v>
      </c>
      <c r="O78" s="23">
        <v>2</v>
      </c>
      <c r="P78" s="20">
        <v>0.57605511160520662</v>
      </c>
    </row>
    <row r="79" spans="1:16">
      <c r="A79" s="16" t="s">
        <v>98</v>
      </c>
      <c r="B79" s="16" t="s">
        <v>599</v>
      </c>
      <c r="C79" s="18" t="s">
        <v>20</v>
      </c>
      <c r="D79" s="18" t="s">
        <v>20</v>
      </c>
      <c r="E79" s="19">
        <v>11</v>
      </c>
      <c r="F79" s="20">
        <v>0.36134491060952123</v>
      </c>
      <c r="G79" s="21">
        <v>3.9747940167047338</v>
      </c>
      <c r="H79" s="19">
        <v>13</v>
      </c>
      <c r="I79" s="20">
        <v>0.35233492191137239</v>
      </c>
      <c r="J79" s="21">
        <v>4.5803539848478412</v>
      </c>
      <c r="K79" s="21">
        <v>0.51200000000000012</v>
      </c>
      <c r="L79" s="21">
        <v>2.345141240242095</v>
      </c>
      <c r="M79" s="22" t="s">
        <v>22</v>
      </c>
      <c r="N79" s="22" t="s">
        <v>16</v>
      </c>
      <c r="O79" s="23">
        <v>0.2</v>
      </c>
      <c r="P79" s="20">
        <v>0.99277937601043753</v>
      </c>
    </row>
    <row r="80" spans="1:16">
      <c r="A80" s="16" t="s">
        <v>99</v>
      </c>
      <c r="B80" s="16" t="s">
        <v>606</v>
      </c>
      <c r="C80" s="18" t="s">
        <v>20</v>
      </c>
      <c r="D80" s="18" t="s">
        <v>20</v>
      </c>
      <c r="E80" s="19">
        <v>8</v>
      </c>
      <c r="F80" s="20">
        <v>0.33612027119346044</v>
      </c>
      <c r="G80" s="21">
        <v>2.6889621695476835</v>
      </c>
      <c r="H80" s="19">
        <v>10</v>
      </c>
      <c r="I80" s="20">
        <v>0.32945221376907907</v>
      </c>
      <c r="J80" s="21">
        <v>3.2945221376907909</v>
      </c>
      <c r="K80" s="21">
        <v>0.51200000000000012</v>
      </c>
      <c r="L80" s="21">
        <v>1.6867953344976854</v>
      </c>
      <c r="M80" s="22" t="s">
        <v>15</v>
      </c>
      <c r="N80" s="22" t="s">
        <v>16</v>
      </c>
      <c r="O80" s="23">
        <v>1</v>
      </c>
      <c r="P80" s="20">
        <v>0.73994081316233651</v>
      </c>
    </row>
    <row r="81" spans="1:16">
      <c r="A81" s="16" t="s">
        <v>100</v>
      </c>
      <c r="B81" s="16" t="s">
        <v>594</v>
      </c>
      <c r="C81" s="18" t="s">
        <v>20</v>
      </c>
      <c r="D81" s="18" t="s">
        <v>20</v>
      </c>
      <c r="E81" s="19">
        <v>14</v>
      </c>
      <c r="F81" s="20">
        <v>0.28970249055791147</v>
      </c>
      <c r="G81" s="21">
        <v>4.055834867810761</v>
      </c>
      <c r="H81" s="19">
        <v>16</v>
      </c>
      <c r="I81" s="20">
        <v>0.29133717724711677</v>
      </c>
      <c r="J81" s="21">
        <v>4.6613948359538684</v>
      </c>
      <c r="K81" s="21">
        <v>0.51200000000000012</v>
      </c>
      <c r="L81" s="21">
        <v>2.3866341560083812</v>
      </c>
      <c r="M81" s="22" t="s">
        <v>18</v>
      </c>
      <c r="N81" s="22" t="s">
        <v>18</v>
      </c>
      <c r="O81" s="23">
        <v>1</v>
      </c>
      <c r="P81" s="20">
        <v>0.85065761265462425</v>
      </c>
    </row>
    <row r="82" spans="1:16">
      <c r="A82" s="16" t="s">
        <v>101</v>
      </c>
      <c r="B82" s="16" t="s">
        <v>601</v>
      </c>
      <c r="C82" s="18" t="s">
        <v>12</v>
      </c>
      <c r="D82" s="18" t="s">
        <v>13</v>
      </c>
      <c r="E82" s="19">
        <v>10</v>
      </c>
      <c r="F82" s="20">
        <v>0.29999520071448255</v>
      </c>
      <c r="G82" s="21">
        <v>2.9999520071448256</v>
      </c>
      <c r="H82" s="19">
        <v>10</v>
      </c>
      <c r="I82" s="20">
        <v>0.29999520071448255</v>
      </c>
      <c r="J82" s="21">
        <v>2.9999520071448256</v>
      </c>
      <c r="K82" s="21">
        <v>0.51200000000000012</v>
      </c>
      <c r="L82" s="21">
        <v>1.535975427658151</v>
      </c>
      <c r="M82" s="22" t="s">
        <v>18</v>
      </c>
      <c r="N82" s="22" t="s">
        <v>46</v>
      </c>
      <c r="O82" s="23">
        <v>2</v>
      </c>
      <c r="P82" s="20">
        <v>0.37099209078197826</v>
      </c>
    </row>
    <row r="83" spans="1:16">
      <c r="A83" s="16" t="s">
        <v>102</v>
      </c>
      <c r="B83" s="16"/>
      <c r="C83" s="18"/>
      <c r="D83" s="18"/>
      <c r="E83" s="19"/>
      <c r="F83" s="20"/>
      <c r="G83" s="21"/>
      <c r="H83" s="19"/>
      <c r="I83" s="20"/>
      <c r="J83" s="21"/>
      <c r="K83" s="21"/>
      <c r="L83" s="21"/>
      <c r="M83" s="22"/>
      <c r="N83" s="22"/>
      <c r="O83" s="23" t="s">
        <v>14</v>
      </c>
      <c r="P83" s="20"/>
    </row>
    <row r="84" spans="1:16">
      <c r="A84" s="16" t="s">
        <v>103</v>
      </c>
      <c r="B84" s="16" t="s">
        <v>587</v>
      </c>
      <c r="C84" s="18" t="s">
        <v>12</v>
      </c>
      <c r="D84" s="18" t="s">
        <v>13</v>
      </c>
      <c r="E84" s="19">
        <v>7</v>
      </c>
      <c r="F84" s="20">
        <v>0.30556476742862476</v>
      </c>
      <c r="G84" s="21">
        <v>2.1389533720003735</v>
      </c>
      <c r="H84" s="19">
        <v>7</v>
      </c>
      <c r="I84" s="20">
        <v>0.30556476742862476</v>
      </c>
      <c r="J84" s="21">
        <v>2.1389533720003735</v>
      </c>
      <c r="K84" s="21">
        <v>0.51200000000000012</v>
      </c>
      <c r="L84" s="21">
        <v>1.0951441264641915</v>
      </c>
      <c r="M84" s="22" t="s">
        <v>15</v>
      </c>
      <c r="N84" s="22" t="s">
        <v>16</v>
      </c>
      <c r="O84" s="23">
        <v>1</v>
      </c>
      <c r="P84" s="20">
        <v>0.54531827687277212</v>
      </c>
    </row>
    <row r="85" spans="1:16">
      <c r="A85" s="16" t="s">
        <v>104</v>
      </c>
      <c r="B85" s="16" t="s">
        <v>588</v>
      </c>
      <c r="C85" s="18" t="s">
        <v>20</v>
      </c>
      <c r="D85" s="18" t="s">
        <v>20</v>
      </c>
      <c r="E85" s="19">
        <v>15</v>
      </c>
      <c r="F85" s="20">
        <v>0.36169425598386251</v>
      </c>
      <c r="G85" s="21">
        <v>5.4254138397579377</v>
      </c>
      <c r="H85" s="19">
        <v>16</v>
      </c>
      <c r="I85" s="20">
        <v>0.35818616294916017</v>
      </c>
      <c r="J85" s="21">
        <v>5.7309786071865627</v>
      </c>
      <c r="K85" s="21">
        <v>0.51200000000000012</v>
      </c>
      <c r="L85" s="21">
        <v>2.9342610468795209</v>
      </c>
      <c r="M85" s="22" t="s">
        <v>18</v>
      </c>
      <c r="N85" s="22" t="s">
        <v>16</v>
      </c>
      <c r="O85" s="23">
        <v>0.4</v>
      </c>
      <c r="P85" s="20">
        <v>0.98175575309692154</v>
      </c>
    </row>
    <row r="86" spans="1:16">
      <c r="A86" s="16" t="s">
        <v>105</v>
      </c>
      <c r="B86" s="16" t="s">
        <v>602</v>
      </c>
      <c r="C86" s="18" t="s">
        <v>20</v>
      </c>
      <c r="D86" s="18" t="s">
        <v>20</v>
      </c>
      <c r="E86" s="19"/>
      <c r="F86" s="20"/>
      <c r="G86" s="21"/>
      <c r="H86" s="19"/>
      <c r="I86" s="20"/>
      <c r="J86" s="21"/>
      <c r="K86" s="21"/>
      <c r="L86" s="21"/>
      <c r="M86" s="22"/>
      <c r="N86" s="22"/>
      <c r="O86" s="23" t="s">
        <v>14</v>
      </c>
      <c r="P86" s="20"/>
    </row>
    <row r="87" spans="1:16">
      <c r="A87" s="16" t="s">
        <v>106</v>
      </c>
      <c r="B87" s="16" t="s">
        <v>590</v>
      </c>
      <c r="C87" s="18" t="s">
        <v>12</v>
      </c>
      <c r="D87" s="18" t="s">
        <v>27</v>
      </c>
      <c r="E87" s="19">
        <v>10</v>
      </c>
      <c r="F87" s="20">
        <v>0.32273039126494418</v>
      </c>
      <c r="G87" s="21">
        <v>3.2273039126494418</v>
      </c>
      <c r="H87" s="19">
        <v>10</v>
      </c>
      <c r="I87" s="20">
        <v>0.32273039126494418</v>
      </c>
      <c r="J87" s="21">
        <v>3.2273039126494418</v>
      </c>
      <c r="K87" s="21">
        <v>0.51200000000000012</v>
      </c>
      <c r="L87" s="21">
        <v>1.6523796032765146</v>
      </c>
      <c r="M87" s="22" t="s">
        <v>15</v>
      </c>
      <c r="N87" s="22" t="s">
        <v>16</v>
      </c>
      <c r="O87" s="23">
        <v>1</v>
      </c>
      <c r="P87" s="20">
        <v>0.73192923969117729</v>
      </c>
    </row>
    <row r="88" spans="1:16">
      <c r="A88" s="16" t="s">
        <v>107</v>
      </c>
      <c r="B88" s="16" t="s">
        <v>603</v>
      </c>
      <c r="C88" s="18" t="s">
        <v>20</v>
      </c>
      <c r="D88" s="18" t="s">
        <v>20</v>
      </c>
      <c r="E88" s="19">
        <v>16</v>
      </c>
      <c r="F88" s="20">
        <v>0.31438395591966434</v>
      </c>
      <c r="G88" s="21">
        <v>5.0301432947146294</v>
      </c>
      <c r="H88" s="19">
        <v>19</v>
      </c>
      <c r="I88" s="20">
        <v>0.3119918299690802</v>
      </c>
      <c r="J88" s="21">
        <v>5.9278447694125243</v>
      </c>
      <c r="K88" s="21">
        <v>0.51200000000000012</v>
      </c>
      <c r="L88" s="21">
        <v>3.0350565219392132</v>
      </c>
      <c r="M88" s="22" t="s">
        <v>15</v>
      </c>
      <c r="N88" s="22" t="s">
        <v>16</v>
      </c>
      <c r="O88" s="23">
        <v>1</v>
      </c>
      <c r="P88" s="20">
        <v>0.90207184723710199</v>
      </c>
    </row>
    <row r="89" spans="1:16">
      <c r="A89" s="16" t="s">
        <v>108</v>
      </c>
      <c r="B89" s="16" t="s">
        <v>606</v>
      </c>
      <c r="C89" s="18" t="s">
        <v>12</v>
      </c>
      <c r="D89" s="18" t="s">
        <v>27</v>
      </c>
      <c r="E89" s="19">
        <v>9</v>
      </c>
      <c r="F89" s="20">
        <v>0.26940631600432458</v>
      </c>
      <c r="G89" s="21">
        <v>2.4246568440389211</v>
      </c>
      <c r="H89" s="19">
        <v>9</v>
      </c>
      <c r="I89" s="20">
        <v>0.26940631600432458</v>
      </c>
      <c r="J89" s="21">
        <v>2.4246568440389211</v>
      </c>
      <c r="K89" s="21">
        <v>0.51200000000000012</v>
      </c>
      <c r="L89" s="21">
        <v>1.2414243041479278</v>
      </c>
      <c r="M89" s="22" t="s">
        <v>15</v>
      </c>
      <c r="N89" s="22" t="s">
        <v>16</v>
      </c>
      <c r="O89" s="23">
        <v>1</v>
      </c>
      <c r="P89" s="20">
        <v>0.60647495142334695</v>
      </c>
    </row>
    <row r="90" spans="1:16">
      <c r="A90" s="16" t="s">
        <v>109</v>
      </c>
      <c r="B90" s="16" t="s">
        <v>589</v>
      </c>
      <c r="C90" s="18" t="s">
        <v>20</v>
      </c>
      <c r="D90" s="18" t="s">
        <v>20</v>
      </c>
      <c r="E90" s="19"/>
      <c r="F90" s="20"/>
      <c r="G90" s="21"/>
      <c r="H90" s="19"/>
      <c r="I90" s="20"/>
      <c r="J90" s="21"/>
      <c r="K90" s="21"/>
      <c r="L90" s="21"/>
      <c r="M90" s="22"/>
      <c r="N90" s="22"/>
      <c r="O90" s="23" t="s">
        <v>14</v>
      </c>
      <c r="P90" s="20"/>
    </row>
    <row r="91" spans="1:16">
      <c r="A91" s="16" t="s">
        <v>110</v>
      </c>
      <c r="B91" s="16" t="s">
        <v>589</v>
      </c>
      <c r="C91" s="18" t="s">
        <v>20</v>
      </c>
      <c r="D91" s="18" t="s">
        <v>20</v>
      </c>
      <c r="E91" s="19">
        <v>14</v>
      </c>
      <c r="F91" s="20">
        <v>0.34275686007226752</v>
      </c>
      <c r="G91" s="21">
        <v>4.798596041011745</v>
      </c>
      <c r="H91" s="19">
        <v>15</v>
      </c>
      <c r="I91" s="20">
        <v>0.34027738722935802</v>
      </c>
      <c r="J91" s="21">
        <v>5.10416080844037</v>
      </c>
      <c r="K91" s="21">
        <v>0.51200000000000012</v>
      </c>
      <c r="L91" s="21">
        <v>2.61333033392147</v>
      </c>
      <c r="M91" s="22" t="s">
        <v>22</v>
      </c>
      <c r="N91" s="22" t="s">
        <v>18</v>
      </c>
      <c r="O91" s="23">
        <v>0.5</v>
      </c>
      <c r="P91" s="20">
        <v>0.96468674888997097</v>
      </c>
    </row>
    <row r="92" spans="1:16">
      <c r="A92" s="16" t="s">
        <v>111</v>
      </c>
      <c r="B92" s="16" t="s">
        <v>588</v>
      </c>
      <c r="C92" s="18" t="s">
        <v>20</v>
      </c>
      <c r="D92" s="18" t="s">
        <v>20</v>
      </c>
      <c r="E92" s="19">
        <v>11</v>
      </c>
      <c r="F92" s="20">
        <v>0.31522443753854884</v>
      </c>
      <c r="G92" s="21">
        <v>3.4674688129240372</v>
      </c>
      <c r="H92" s="19">
        <v>12</v>
      </c>
      <c r="I92" s="20">
        <v>0.3144194650293885</v>
      </c>
      <c r="J92" s="21">
        <v>3.7730335803526618</v>
      </c>
      <c r="K92" s="21">
        <v>0.51200000000000012</v>
      </c>
      <c r="L92" s="21">
        <v>1.9317931931405632</v>
      </c>
      <c r="M92" s="22" t="s">
        <v>28</v>
      </c>
      <c r="N92" s="22" t="s">
        <v>18</v>
      </c>
      <c r="O92" s="23">
        <v>4</v>
      </c>
      <c r="P92" s="20">
        <v>0.18912720704803401</v>
      </c>
    </row>
    <row r="93" spans="1:16">
      <c r="A93" s="16" t="s">
        <v>112</v>
      </c>
      <c r="B93" s="16" t="s">
        <v>589</v>
      </c>
      <c r="C93" s="18" t="s">
        <v>20</v>
      </c>
      <c r="D93" s="18" t="s">
        <v>20</v>
      </c>
      <c r="E93" s="19">
        <v>17</v>
      </c>
      <c r="F93" s="20">
        <v>0.32442539934154357</v>
      </c>
      <c r="G93" s="21">
        <v>5.5152317888062408</v>
      </c>
      <c r="H93" s="19">
        <v>18</v>
      </c>
      <c r="I93" s="20">
        <v>0.32337758645749254</v>
      </c>
      <c r="J93" s="21">
        <v>5.8207965562348658</v>
      </c>
      <c r="K93" s="21">
        <v>0.51200000000000012</v>
      </c>
      <c r="L93" s="21">
        <v>2.9802478367922518</v>
      </c>
      <c r="M93" s="22" t="s">
        <v>15</v>
      </c>
      <c r="N93" s="22" t="s">
        <v>16</v>
      </c>
      <c r="O93" s="23">
        <v>1</v>
      </c>
      <c r="P93" s="20">
        <v>0.8988046518968158</v>
      </c>
    </row>
    <row r="94" spans="1:16">
      <c r="A94" s="16" t="s">
        <v>113</v>
      </c>
      <c r="B94" s="16" t="s">
        <v>604</v>
      </c>
      <c r="C94" s="18" t="s">
        <v>20</v>
      </c>
      <c r="D94" s="18" t="s">
        <v>20</v>
      </c>
      <c r="E94" s="19">
        <v>8</v>
      </c>
      <c r="F94" s="20">
        <v>0.33767228290882495</v>
      </c>
      <c r="G94" s="21">
        <v>2.7013782632705996</v>
      </c>
      <c r="H94" s="19">
        <v>9</v>
      </c>
      <c r="I94" s="20">
        <v>0.33410478118880271</v>
      </c>
      <c r="J94" s="21">
        <v>3.0069430306992242</v>
      </c>
      <c r="K94" s="21">
        <v>0.51200000000000012</v>
      </c>
      <c r="L94" s="21">
        <v>1.5395548317180032</v>
      </c>
      <c r="M94" s="22" t="s">
        <v>18</v>
      </c>
      <c r="N94" s="22" t="s">
        <v>16</v>
      </c>
      <c r="O94" s="23">
        <v>0.4</v>
      </c>
      <c r="P94" s="20">
        <v>0.93676461895360952</v>
      </c>
    </row>
    <row r="95" spans="1:16">
      <c r="A95" s="16" t="s">
        <v>114</v>
      </c>
      <c r="B95" s="16" t="s">
        <v>600</v>
      </c>
      <c r="C95" s="18" t="s">
        <v>20</v>
      </c>
      <c r="D95" s="18" t="s">
        <v>20</v>
      </c>
      <c r="E95" s="19">
        <v>7</v>
      </c>
      <c r="F95" s="20">
        <v>0.26047207396813093</v>
      </c>
      <c r="G95" s="21">
        <v>1.8233045177769165</v>
      </c>
      <c r="H95" s="19">
        <v>8</v>
      </c>
      <c r="I95" s="20">
        <v>0.26610866065069266</v>
      </c>
      <c r="J95" s="21">
        <v>2.1288692852055413</v>
      </c>
      <c r="K95" s="21">
        <v>0.51200000000000012</v>
      </c>
      <c r="L95" s="21">
        <v>1.0899810740252374</v>
      </c>
      <c r="M95" s="22" t="s">
        <v>15</v>
      </c>
      <c r="N95" s="22" t="s">
        <v>18</v>
      </c>
      <c r="O95" s="23">
        <v>2.5</v>
      </c>
      <c r="P95" s="20">
        <v>0.15972699100469454</v>
      </c>
    </row>
    <row r="96" spans="1:16">
      <c r="A96" s="16" t="s">
        <v>115</v>
      </c>
      <c r="B96" s="16" t="s">
        <v>591</v>
      </c>
      <c r="C96" s="18" t="s">
        <v>20</v>
      </c>
      <c r="D96" s="18" t="s">
        <v>20</v>
      </c>
      <c r="E96" s="19">
        <v>9</v>
      </c>
      <c r="F96" s="20">
        <v>0.26819472068714972</v>
      </c>
      <c r="G96" s="21">
        <v>2.4137524861843476</v>
      </c>
      <c r="H96" s="19">
        <v>10</v>
      </c>
      <c r="I96" s="20">
        <v>0.27193172536129723</v>
      </c>
      <c r="J96" s="21">
        <v>2.7193172536129722</v>
      </c>
      <c r="K96" s="21">
        <v>0.51200000000000012</v>
      </c>
      <c r="L96" s="21">
        <v>1.3922904338498421</v>
      </c>
      <c r="M96" s="22" t="s">
        <v>15</v>
      </c>
      <c r="N96" s="22" t="s">
        <v>18</v>
      </c>
      <c r="O96" s="23">
        <v>2.5</v>
      </c>
      <c r="P96" s="20">
        <v>0.23673189549841023</v>
      </c>
    </row>
    <row r="97" spans="1:16">
      <c r="A97" s="16" t="s">
        <v>116</v>
      </c>
      <c r="B97" s="16" t="s">
        <v>589</v>
      </c>
      <c r="C97" s="18" t="s">
        <v>20</v>
      </c>
      <c r="D97" s="18" t="s">
        <v>20</v>
      </c>
      <c r="E97" s="19">
        <v>9</v>
      </c>
      <c r="F97" s="20">
        <v>0.2443872981659643</v>
      </c>
      <c r="G97" s="21">
        <v>2.1994856834936787</v>
      </c>
      <c r="H97" s="19">
        <v>10</v>
      </c>
      <c r="I97" s="20">
        <v>0.25050504509223032</v>
      </c>
      <c r="J97" s="21">
        <v>2.5050504509223033</v>
      </c>
      <c r="K97" s="21">
        <v>0.51200000000000012</v>
      </c>
      <c r="L97" s="21">
        <v>1.2825858308722196</v>
      </c>
      <c r="M97" s="22" t="s">
        <v>15</v>
      </c>
      <c r="N97" s="22" t="s">
        <v>16</v>
      </c>
      <c r="O97" s="23">
        <v>1</v>
      </c>
      <c r="P97" s="20">
        <v>0.62193194182273692</v>
      </c>
    </row>
    <row r="98" spans="1:16">
      <c r="A98" s="16" t="s">
        <v>117</v>
      </c>
      <c r="B98" s="16" t="s">
        <v>589</v>
      </c>
      <c r="C98" s="18" t="s">
        <v>20</v>
      </c>
      <c r="D98" s="18" t="s">
        <v>20</v>
      </c>
      <c r="E98" s="19">
        <v>7</v>
      </c>
      <c r="F98" s="20">
        <v>0.30828633207826056</v>
      </c>
      <c r="G98" s="21">
        <v>2.1580043245478238</v>
      </c>
      <c r="H98" s="19">
        <v>8</v>
      </c>
      <c r="I98" s="20">
        <v>0.30794613649705604</v>
      </c>
      <c r="J98" s="21">
        <v>2.4635690919764484</v>
      </c>
      <c r="K98" s="21">
        <v>0.51200000000000012</v>
      </c>
      <c r="L98" s="21">
        <v>1.2613473750919419</v>
      </c>
      <c r="M98" s="22" t="s">
        <v>18</v>
      </c>
      <c r="N98" s="22" t="s">
        <v>18</v>
      </c>
      <c r="O98" s="23">
        <v>1</v>
      </c>
      <c r="P98" s="20">
        <v>0.6140482128855187</v>
      </c>
    </row>
    <row r="99" spans="1:16">
      <c r="A99" s="16" t="s">
        <v>118</v>
      </c>
      <c r="B99" s="16" t="s">
        <v>589</v>
      </c>
      <c r="C99" s="18" t="s">
        <v>20</v>
      </c>
      <c r="D99" s="18" t="s">
        <v>20</v>
      </c>
      <c r="E99" s="19"/>
      <c r="F99" s="20"/>
      <c r="G99" s="21"/>
      <c r="H99" s="19"/>
      <c r="I99" s="20"/>
      <c r="J99" s="21"/>
      <c r="K99" s="21"/>
      <c r="L99" s="21"/>
      <c r="M99" s="22"/>
      <c r="N99" s="22"/>
      <c r="O99" s="23" t="s">
        <v>14</v>
      </c>
      <c r="P99" s="20"/>
    </row>
    <row r="100" spans="1:16">
      <c r="A100" s="16" t="s">
        <v>119</v>
      </c>
      <c r="B100" s="16" t="s">
        <v>589</v>
      </c>
      <c r="C100" s="18" t="s">
        <v>20</v>
      </c>
      <c r="D100" s="18" t="s">
        <v>20</v>
      </c>
      <c r="E100" s="19">
        <v>8</v>
      </c>
      <c r="F100" s="20">
        <v>0.29969616402744226</v>
      </c>
      <c r="G100" s="21">
        <v>2.3975693122195381</v>
      </c>
      <c r="H100" s="19">
        <v>9</v>
      </c>
      <c r="I100" s="20">
        <v>0.30034823107201808</v>
      </c>
      <c r="J100" s="21">
        <v>2.7031340796481627</v>
      </c>
      <c r="K100" s="21">
        <v>0.51200000000000012</v>
      </c>
      <c r="L100" s="21">
        <v>1.3840046487798596</v>
      </c>
      <c r="M100" s="22" t="s">
        <v>15</v>
      </c>
      <c r="N100" s="22" t="s">
        <v>18</v>
      </c>
      <c r="O100" s="23">
        <v>2.5</v>
      </c>
      <c r="P100" s="20">
        <v>0.23458161421537069</v>
      </c>
    </row>
    <row r="101" spans="1:16">
      <c r="A101" s="16" t="s">
        <v>120</v>
      </c>
      <c r="B101" s="16" t="s">
        <v>589</v>
      </c>
      <c r="C101" s="18" t="s">
        <v>20</v>
      </c>
      <c r="D101" s="18" t="s">
        <v>20</v>
      </c>
      <c r="E101" s="19">
        <v>18</v>
      </c>
      <c r="F101" s="20">
        <v>0.32714928922039854</v>
      </c>
      <c r="G101" s="21">
        <v>5.888687205967174</v>
      </c>
      <c r="H101" s="19">
        <v>19</v>
      </c>
      <c r="I101" s="20">
        <v>0.32601326175767364</v>
      </c>
      <c r="J101" s="21">
        <v>6.194251973395799</v>
      </c>
      <c r="K101" s="21">
        <v>0.51200000000000012</v>
      </c>
      <c r="L101" s="21">
        <v>3.1714570103786497</v>
      </c>
      <c r="M101" s="22" t="s">
        <v>18</v>
      </c>
      <c r="N101" s="22" t="s">
        <v>16</v>
      </c>
      <c r="O101" s="23">
        <v>0.4</v>
      </c>
      <c r="P101" s="20">
        <v>0.98434157226718411</v>
      </c>
    </row>
    <row r="102" spans="1:16">
      <c r="A102" s="16" t="s">
        <v>121</v>
      </c>
      <c r="B102" s="16" t="s">
        <v>589</v>
      </c>
      <c r="C102" s="18" t="s">
        <v>20</v>
      </c>
      <c r="D102" s="18" t="s">
        <v>20</v>
      </c>
      <c r="E102" s="19"/>
      <c r="F102" s="20"/>
      <c r="G102" s="21"/>
      <c r="H102" s="19"/>
      <c r="I102" s="20"/>
      <c r="J102" s="21"/>
      <c r="K102" s="21"/>
      <c r="L102" s="21"/>
      <c r="M102" s="22"/>
      <c r="N102" s="22"/>
      <c r="O102" s="23" t="s">
        <v>14</v>
      </c>
      <c r="P102" s="20"/>
    </row>
    <row r="103" spans="1:16">
      <c r="A103" s="16" t="s">
        <v>122</v>
      </c>
      <c r="B103" s="16" t="s">
        <v>589</v>
      </c>
      <c r="C103" s="18" t="s">
        <v>20</v>
      </c>
      <c r="D103" s="18" t="s">
        <v>20</v>
      </c>
      <c r="E103" s="19">
        <v>6</v>
      </c>
      <c r="F103" s="20">
        <v>0.28458221979542619</v>
      </c>
      <c r="G103" s="21">
        <v>1.7074933187725572</v>
      </c>
      <c r="H103" s="19">
        <v>7</v>
      </c>
      <c r="I103" s="20">
        <v>0.28757972660016884</v>
      </c>
      <c r="J103" s="21">
        <v>2.0130580862011818</v>
      </c>
      <c r="K103" s="21">
        <v>0.51200000000000012</v>
      </c>
      <c r="L103" s="21">
        <v>1.0306857401350054</v>
      </c>
      <c r="M103" s="22" t="s">
        <v>18</v>
      </c>
      <c r="N103" s="22" t="s">
        <v>18</v>
      </c>
      <c r="O103" s="23">
        <v>1</v>
      </c>
      <c r="P103" s="20">
        <v>0.51510757388662465</v>
      </c>
    </row>
    <row r="104" spans="1:16">
      <c r="A104" s="16" t="s">
        <v>123</v>
      </c>
      <c r="B104" s="16" t="s">
        <v>594</v>
      </c>
      <c r="C104" s="18" t="s">
        <v>20</v>
      </c>
      <c r="D104" s="18" t="s">
        <v>20</v>
      </c>
      <c r="E104" s="19">
        <v>20</v>
      </c>
      <c r="F104" s="20">
        <v>0.29505836558748155</v>
      </c>
      <c r="G104" s="21">
        <v>5.9011673117496315</v>
      </c>
      <c r="H104" s="19">
        <v>21</v>
      </c>
      <c r="I104" s="20">
        <v>0.29555867043705986</v>
      </c>
      <c r="J104" s="21">
        <v>6.2067320791782574</v>
      </c>
      <c r="K104" s="21">
        <v>0.51200000000000012</v>
      </c>
      <c r="L104" s="21">
        <v>3.1778468245392686</v>
      </c>
      <c r="M104" s="22" t="s">
        <v>18</v>
      </c>
      <c r="N104" s="22" t="s">
        <v>18</v>
      </c>
      <c r="O104" s="23">
        <v>1</v>
      </c>
      <c r="P104" s="20">
        <v>0.909899442337475</v>
      </c>
    </row>
    <row r="105" spans="1:16">
      <c r="A105" s="16" t="s">
        <v>124</v>
      </c>
      <c r="B105" s="16" t="s">
        <v>599</v>
      </c>
      <c r="C105" s="18" t="s">
        <v>20</v>
      </c>
      <c r="D105" s="18" t="s">
        <v>20</v>
      </c>
      <c r="E105" s="19">
        <v>8</v>
      </c>
      <c r="F105" s="20">
        <v>0.30299625132203684</v>
      </c>
      <c r="G105" s="21">
        <v>2.4239700105762947</v>
      </c>
      <c r="H105" s="19">
        <v>9</v>
      </c>
      <c r="I105" s="20">
        <v>0.30328164200054658</v>
      </c>
      <c r="J105" s="21">
        <v>2.7295347780049193</v>
      </c>
      <c r="K105" s="21">
        <v>0.51200000000000012</v>
      </c>
      <c r="L105" s="21">
        <v>1.3975218063385191</v>
      </c>
      <c r="M105" s="22" t="s">
        <v>22</v>
      </c>
      <c r="N105" s="22" t="s">
        <v>16</v>
      </c>
      <c r="O105" s="23">
        <v>0.2</v>
      </c>
      <c r="P105" s="20">
        <v>0.97993043083734321</v>
      </c>
    </row>
    <row r="106" spans="1:16">
      <c r="A106" s="16" t="s">
        <v>125</v>
      </c>
      <c r="B106" s="16" t="s">
        <v>589</v>
      </c>
      <c r="C106" s="18" t="s">
        <v>20</v>
      </c>
      <c r="D106" s="18" t="s">
        <v>20</v>
      </c>
      <c r="E106" s="19"/>
      <c r="F106" s="20"/>
      <c r="G106" s="21"/>
      <c r="H106" s="19"/>
      <c r="I106" s="20"/>
      <c r="J106" s="21"/>
      <c r="K106" s="21"/>
      <c r="L106" s="21"/>
      <c r="M106" s="22"/>
      <c r="N106" s="22"/>
      <c r="O106" s="23" t="s">
        <v>14</v>
      </c>
      <c r="P106" s="20"/>
    </row>
    <row r="107" spans="1:16">
      <c r="A107" s="16" t="s">
        <v>126</v>
      </c>
      <c r="B107" s="16" t="s">
        <v>599</v>
      </c>
      <c r="C107" s="18" t="s">
        <v>20</v>
      </c>
      <c r="D107" s="18" t="s">
        <v>20</v>
      </c>
      <c r="E107" s="19">
        <v>9</v>
      </c>
      <c r="F107" s="20">
        <v>0.3257232120337738</v>
      </c>
      <c r="G107" s="21">
        <v>2.931508908303964</v>
      </c>
      <c r="H107" s="19">
        <v>10</v>
      </c>
      <c r="I107" s="20">
        <v>0.32370736757325885</v>
      </c>
      <c r="J107" s="21">
        <v>3.2370736757325886</v>
      </c>
      <c r="K107" s="21">
        <v>0.51200000000000012</v>
      </c>
      <c r="L107" s="21">
        <v>1.6573817219750857</v>
      </c>
      <c r="M107" s="22" t="s">
        <v>18</v>
      </c>
      <c r="N107" s="22" t="s">
        <v>16</v>
      </c>
      <c r="O107" s="23">
        <v>0.4</v>
      </c>
      <c r="P107" s="20">
        <v>0.94495881525412795</v>
      </c>
    </row>
    <row r="108" spans="1:16">
      <c r="A108" s="16" t="s">
        <v>127</v>
      </c>
      <c r="B108" s="16" t="s">
        <v>587</v>
      </c>
      <c r="C108" s="18" t="s">
        <v>20</v>
      </c>
      <c r="D108" s="18" t="s">
        <v>20</v>
      </c>
      <c r="E108" s="19">
        <v>20</v>
      </c>
      <c r="F108" s="20">
        <v>0.29228026633029663</v>
      </c>
      <c r="G108" s="21">
        <v>5.8456053266059325</v>
      </c>
      <c r="H108" s="19">
        <v>21</v>
      </c>
      <c r="I108" s="20">
        <v>0.29291286162069319</v>
      </c>
      <c r="J108" s="21">
        <v>6.1511700940345566</v>
      </c>
      <c r="K108" s="21">
        <v>0.51200000000000012</v>
      </c>
      <c r="L108" s="21">
        <v>3.1493990881456937</v>
      </c>
      <c r="M108" s="22" t="s">
        <v>18</v>
      </c>
      <c r="N108" s="22" t="s">
        <v>18</v>
      </c>
      <c r="O108" s="23">
        <v>1</v>
      </c>
      <c r="P108" s="20">
        <v>0.90841412793253085</v>
      </c>
    </row>
    <row r="109" spans="1:16">
      <c r="A109" s="16" t="s">
        <v>128</v>
      </c>
      <c r="B109" s="16"/>
      <c r="C109" s="18"/>
      <c r="D109" s="18"/>
      <c r="E109" s="19"/>
      <c r="F109" s="20"/>
      <c r="G109" s="21"/>
      <c r="H109" s="19"/>
      <c r="I109" s="20"/>
      <c r="J109" s="21"/>
      <c r="K109" s="21"/>
      <c r="L109" s="21"/>
      <c r="M109" s="22"/>
      <c r="N109" s="22"/>
      <c r="O109" s="23" t="s">
        <v>14</v>
      </c>
      <c r="P109" s="20"/>
    </row>
    <row r="110" spans="1:16">
      <c r="A110" s="16" t="s">
        <v>129</v>
      </c>
      <c r="B110" s="16" t="s">
        <v>587</v>
      </c>
      <c r="C110" s="18" t="s">
        <v>12</v>
      </c>
      <c r="D110" s="18" t="s">
        <v>13</v>
      </c>
      <c r="E110" s="19">
        <v>7</v>
      </c>
      <c r="F110" s="20">
        <v>0.30556476742862476</v>
      </c>
      <c r="G110" s="21">
        <v>2.1389533720003735</v>
      </c>
      <c r="H110" s="19">
        <v>7</v>
      </c>
      <c r="I110" s="20">
        <v>0.30556476742862476</v>
      </c>
      <c r="J110" s="21">
        <v>2.1389533720003735</v>
      </c>
      <c r="K110" s="21">
        <v>0.51200000000000012</v>
      </c>
      <c r="L110" s="21">
        <v>1.0951441264641915</v>
      </c>
      <c r="M110" s="22" t="s">
        <v>15</v>
      </c>
      <c r="N110" s="22" t="s">
        <v>16</v>
      </c>
      <c r="O110" s="23">
        <v>1</v>
      </c>
      <c r="P110" s="20">
        <v>0.54531827687277212</v>
      </c>
    </row>
    <row r="111" spans="1:16">
      <c r="A111" s="16" t="s">
        <v>130</v>
      </c>
      <c r="B111" s="16" t="s">
        <v>588</v>
      </c>
      <c r="C111" s="18" t="s">
        <v>20</v>
      </c>
      <c r="D111" s="18" t="s">
        <v>20</v>
      </c>
      <c r="E111" s="19">
        <v>15</v>
      </c>
      <c r="F111" s="20">
        <v>0.36169425598386251</v>
      </c>
      <c r="G111" s="21">
        <v>5.4254138397579377</v>
      </c>
      <c r="H111" s="19">
        <v>17</v>
      </c>
      <c r="I111" s="20">
        <v>0.35395179408869359</v>
      </c>
      <c r="J111" s="21">
        <v>6.0171804995077913</v>
      </c>
      <c r="K111" s="21">
        <v>0.51200000000000012</v>
      </c>
      <c r="L111" s="21">
        <v>3.0807964157479897</v>
      </c>
      <c r="M111" s="22" t="s">
        <v>18</v>
      </c>
      <c r="N111" s="22" t="s">
        <v>16</v>
      </c>
      <c r="O111" s="23">
        <v>0.4</v>
      </c>
      <c r="P111" s="20">
        <v>0.98342193369535302</v>
      </c>
    </row>
    <row r="112" spans="1:16">
      <c r="A112" s="16" t="s">
        <v>131</v>
      </c>
      <c r="B112" s="16" t="s">
        <v>596</v>
      </c>
      <c r="C112" s="18" t="s">
        <v>12</v>
      </c>
      <c r="D112" s="18" t="s">
        <v>13</v>
      </c>
      <c r="E112" s="19">
        <v>12</v>
      </c>
      <c r="F112" s="20">
        <v>0.2862018923212285</v>
      </c>
      <c r="G112" s="21">
        <v>3.434422707854742</v>
      </c>
      <c r="H112" s="19">
        <v>12</v>
      </c>
      <c r="I112" s="20">
        <v>0.2862018923212285</v>
      </c>
      <c r="J112" s="21">
        <v>3.434422707854742</v>
      </c>
      <c r="K112" s="21">
        <v>0.51200000000000012</v>
      </c>
      <c r="L112" s="21">
        <v>1.7584244264216284</v>
      </c>
      <c r="M112" s="22" t="s">
        <v>15</v>
      </c>
      <c r="N112" s="22" t="s">
        <v>46</v>
      </c>
      <c r="O112" s="23">
        <v>5</v>
      </c>
      <c r="P112" s="20">
        <v>0.11006871168227786</v>
      </c>
    </row>
    <row r="113" spans="1:16">
      <c r="A113" s="16" t="s">
        <v>132</v>
      </c>
      <c r="B113" s="16" t="s">
        <v>599</v>
      </c>
      <c r="C113" s="18" t="s">
        <v>20</v>
      </c>
      <c r="D113" s="18" t="s">
        <v>20</v>
      </c>
      <c r="E113" s="19"/>
      <c r="F113" s="20"/>
      <c r="G113" s="21"/>
      <c r="H113" s="19"/>
      <c r="I113" s="20"/>
      <c r="J113" s="21"/>
      <c r="K113" s="21"/>
      <c r="L113" s="21"/>
      <c r="M113" s="22"/>
      <c r="N113" s="22"/>
      <c r="O113" s="23" t="s">
        <v>14</v>
      </c>
      <c r="P113" s="20"/>
    </row>
    <row r="114" spans="1:16">
      <c r="A114" s="16" t="s">
        <v>133</v>
      </c>
      <c r="B114" s="16" t="s">
        <v>599</v>
      </c>
      <c r="C114" s="18" t="s">
        <v>20</v>
      </c>
      <c r="D114" s="18" t="s">
        <v>20</v>
      </c>
      <c r="E114" s="19">
        <v>15</v>
      </c>
      <c r="F114" s="20">
        <v>0.33298252821475299</v>
      </c>
      <c r="G114" s="21">
        <v>4.9947379232212947</v>
      </c>
      <c r="H114" s="19">
        <v>17</v>
      </c>
      <c r="I114" s="20">
        <v>0.32861791664536166</v>
      </c>
      <c r="J114" s="21">
        <v>5.5865045829711484</v>
      </c>
      <c r="K114" s="21">
        <v>0.51200000000000012</v>
      </c>
      <c r="L114" s="21">
        <v>2.8602903464812286</v>
      </c>
      <c r="M114" s="22" t="s">
        <v>22</v>
      </c>
      <c r="N114" s="22" t="s">
        <v>16</v>
      </c>
      <c r="O114" s="23">
        <v>0.2</v>
      </c>
      <c r="P114" s="20">
        <v>0.99513456626044083</v>
      </c>
    </row>
    <row r="115" spans="1:16">
      <c r="A115" s="16" t="s">
        <v>134</v>
      </c>
      <c r="B115" s="16" t="s">
        <v>599</v>
      </c>
      <c r="C115" s="18" t="s">
        <v>20</v>
      </c>
      <c r="D115" s="18" t="s">
        <v>20</v>
      </c>
      <c r="E115" s="19">
        <v>15</v>
      </c>
      <c r="F115" s="20">
        <v>0.33298252821475299</v>
      </c>
      <c r="G115" s="21">
        <v>4.9947379232212947</v>
      </c>
      <c r="H115" s="19">
        <v>17</v>
      </c>
      <c r="I115" s="20">
        <v>0.32861791664536166</v>
      </c>
      <c r="J115" s="21">
        <v>5.5865045829711484</v>
      </c>
      <c r="K115" s="21">
        <v>0.51200000000000012</v>
      </c>
      <c r="L115" s="21">
        <v>2.8602903464812286</v>
      </c>
      <c r="M115" s="22" t="s">
        <v>22</v>
      </c>
      <c r="N115" s="22" t="s">
        <v>16</v>
      </c>
      <c r="O115" s="23">
        <v>0.2</v>
      </c>
      <c r="P115" s="20">
        <v>0.99513456626044083</v>
      </c>
    </row>
    <row r="116" spans="1:16">
      <c r="A116" s="16" t="s">
        <v>135</v>
      </c>
      <c r="B116" s="16" t="s">
        <v>589</v>
      </c>
      <c r="C116" s="18" t="s">
        <v>20</v>
      </c>
      <c r="D116" s="18" t="s">
        <v>20</v>
      </c>
      <c r="E116" s="19">
        <v>17</v>
      </c>
      <c r="F116" s="20">
        <v>0.33062559981957096</v>
      </c>
      <c r="G116" s="21">
        <v>5.6206351969327066</v>
      </c>
      <c r="H116" s="19">
        <v>19</v>
      </c>
      <c r="I116" s="20">
        <v>0.32696851877276628</v>
      </c>
      <c r="J116" s="21">
        <v>6.2124018566825594</v>
      </c>
      <c r="K116" s="21">
        <v>0.51200000000000012</v>
      </c>
      <c r="L116" s="21">
        <v>3.1807497506214713</v>
      </c>
      <c r="M116" s="22" t="s">
        <v>22</v>
      </c>
      <c r="N116" s="22" t="s">
        <v>16</v>
      </c>
      <c r="O116" s="23">
        <v>0.2</v>
      </c>
      <c r="P116" s="20">
        <v>0.99606189479625629</v>
      </c>
    </row>
    <row r="117" spans="1:16">
      <c r="A117" s="16" t="s">
        <v>136</v>
      </c>
      <c r="B117" s="16" t="s">
        <v>599</v>
      </c>
      <c r="C117" s="18" t="s">
        <v>20</v>
      </c>
      <c r="D117" s="18" t="s">
        <v>20</v>
      </c>
      <c r="E117" s="19">
        <v>15</v>
      </c>
      <c r="F117" s="20">
        <v>0.33298252821475299</v>
      </c>
      <c r="G117" s="21">
        <v>4.9947379232212947</v>
      </c>
      <c r="H117" s="19">
        <v>17</v>
      </c>
      <c r="I117" s="20">
        <v>0.32861791664536166</v>
      </c>
      <c r="J117" s="21">
        <v>5.5865045829711484</v>
      </c>
      <c r="K117" s="21">
        <v>0.51200000000000012</v>
      </c>
      <c r="L117" s="21">
        <v>2.8602903464812286</v>
      </c>
      <c r="M117" s="22" t="s">
        <v>22</v>
      </c>
      <c r="N117" s="22" t="s">
        <v>16</v>
      </c>
      <c r="O117" s="23">
        <v>0.2</v>
      </c>
      <c r="P117" s="20">
        <v>0.99513456626044083</v>
      </c>
    </row>
    <row r="118" spans="1:16">
      <c r="A118" s="16" t="s">
        <v>137</v>
      </c>
      <c r="B118" s="16" t="s">
        <v>599</v>
      </c>
      <c r="C118" s="18" t="s">
        <v>20</v>
      </c>
      <c r="D118" s="18" t="s">
        <v>20</v>
      </c>
      <c r="E118" s="19">
        <v>17</v>
      </c>
      <c r="F118" s="20">
        <v>0.33062559981957096</v>
      </c>
      <c r="G118" s="21">
        <v>5.6206351969327066</v>
      </c>
      <c r="H118" s="19">
        <v>19</v>
      </c>
      <c r="I118" s="20">
        <v>0.32696851877276628</v>
      </c>
      <c r="J118" s="21">
        <v>6.2124018566825594</v>
      </c>
      <c r="K118" s="21">
        <v>0.51200000000000012</v>
      </c>
      <c r="L118" s="21">
        <v>3.1807497506214713</v>
      </c>
      <c r="M118" s="22" t="s">
        <v>22</v>
      </c>
      <c r="N118" s="22" t="s">
        <v>16</v>
      </c>
      <c r="O118" s="23">
        <v>0.2</v>
      </c>
      <c r="P118" s="20">
        <v>0.99606189479625629</v>
      </c>
    </row>
    <row r="119" spans="1:16">
      <c r="A119" s="16" t="s">
        <v>138</v>
      </c>
      <c r="B119" s="16" t="s">
        <v>597</v>
      </c>
      <c r="C119" s="18" t="s">
        <v>20</v>
      </c>
      <c r="D119" s="18" t="s">
        <v>20</v>
      </c>
      <c r="E119" s="19">
        <v>10</v>
      </c>
      <c r="F119" s="20">
        <v>0.33034674349306725</v>
      </c>
      <c r="G119" s="21">
        <v>3.3034674349306723</v>
      </c>
      <c r="H119" s="19">
        <v>12</v>
      </c>
      <c r="I119" s="20">
        <v>0.32460284122337713</v>
      </c>
      <c r="J119" s="21">
        <v>3.8952340946805255</v>
      </c>
      <c r="K119" s="21">
        <v>0.51200000000000012</v>
      </c>
      <c r="L119" s="21">
        <v>1.9943598564764295</v>
      </c>
      <c r="M119" s="22" t="s">
        <v>15</v>
      </c>
      <c r="N119" s="22" t="s">
        <v>16</v>
      </c>
      <c r="O119" s="23">
        <v>1</v>
      </c>
      <c r="P119" s="20">
        <v>0.79909477074594493</v>
      </c>
    </row>
    <row r="120" spans="1:16">
      <c r="A120" s="16" t="s">
        <v>139</v>
      </c>
      <c r="B120" s="16" t="s">
        <v>599</v>
      </c>
      <c r="C120" s="18" t="s">
        <v>20</v>
      </c>
      <c r="D120" s="18" t="s">
        <v>20</v>
      </c>
      <c r="E120" s="19"/>
      <c r="F120" s="20"/>
      <c r="G120" s="21"/>
      <c r="H120" s="19"/>
      <c r="I120" s="20"/>
      <c r="J120" s="21"/>
      <c r="K120" s="21"/>
      <c r="L120" s="21"/>
      <c r="M120" s="22"/>
      <c r="N120" s="22"/>
      <c r="O120" s="23" t="s">
        <v>14</v>
      </c>
      <c r="P120" s="20"/>
    </row>
    <row r="121" spans="1:16">
      <c r="A121" s="16" t="s">
        <v>140</v>
      </c>
      <c r="B121" s="16" t="s">
        <v>599</v>
      </c>
      <c r="C121" s="18" t="s">
        <v>20</v>
      </c>
      <c r="D121" s="18" t="s">
        <v>20</v>
      </c>
      <c r="E121" s="19">
        <v>15</v>
      </c>
      <c r="F121" s="20">
        <v>0.33298252821475299</v>
      </c>
      <c r="G121" s="21">
        <v>4.9947379232212947</v>
      </c>
      <c r="H121" s="19">
        <v>17</v>
      </c>
      <c r="I121" s="20">
        <v>0.32861791664536166</v>
      </c>
      <c r="J121" s="21">
        <v>5.5865045829711484</v>
      </c>
      <c r="K121" s="21">
        <v>0.51200000000000012</v>
      </c>
      <c r="L121" s="21">
        <v>2.8602903464812286</v>
      </c>
      <c r="M121" s="22" t="s">
        <v>22</v>
      </c>
      <c r="N121" s="22" t="s">
        <v>16</v>
      </c>
      <c r="O121" s="23">
        <v>0.2</v>
      </c>
      <c r="P121" s="20">
        <v>0.99513456626044083</v>
      </c>
    </row>
    <row r="122" spans="1:16">
      <c r="A122" s="16" t="s">
        <v>141</v>
      </c>
      <c r="B122" s="16" t="s">
        <v>599</v>
      </c>
      <c r="C122" s="18" t="s">
        <v>20</v>
      </c>
      <c r="D122" s="18" t="s">
        <v>20</v>
      </c>
      <c r="E122" s="19">
        <v>15</v>
      </c>
      <c r="F122" s="20">
        <v>0.33298252821475299</v>
      </c>
      <c r="G122" s="21">
        <v>4.9947379232212947</v>
      </c>
      <c r="H122" s="19">
        <v>17</v>
      </c>
      <c r="I122" s="20">
        <v>0.32861791664536166</v>
      </c>
      <c r="J122" s="21">
        <v>5.5865045829711484</v>
      </c>
      <c r="K122" s="21">
        <v>0.51200000000000012</v>
      </c>
      <c r="L122" s="21">
        <v>2.8602903464812286</v>
      </c>
      <c r="M122" s="22" t="s">
        <v>22</v>
      </c>
      <c r="N122" s="22" t="s">
        <v>16</v>
      </c>
      <c r="O122" s="23">
        <v>0.2</v>
      </c>
      <c r="P122" s="20">
        <v>0.99513456626044083</v>
      </c>
    </row>
    <row r="123" spans="1:16">
      <c r="A123" s="16" t="s">
        <v>142</v>
      </c>
      <c r="B123" s="16" t="s">
        <v>597</v>
      </c>
      <c r="C123" s="18" t="s">
        <v>20</v>
      </c>
      <c r="D123" s="18" t="s">
        <v>20</v>
      </c>
      <c r="E123" s="19">
        <v>10</v>
      </c>
      <c r="F123" s="20">
        <v>0.33034674349306725</v>
      </c>
      <c r="G123" s="21">
        <v>3.3034674349306723</v>
      </c>
      <c r="H123" s="19">
        <v>12</v>
      </c>
      <c r="I123" s="20">
        <v>0.32460284122337713</v>
      </c>
      <c r="J123" s="21">
        <v>3.8952340946805255</v>
      </c>
      <c r="K123" s="21">
        <v>0.51200000000000012</v>
      </c>
      <c r="L123" s="21">
        <v>1.9943598564764295</v>
      </c>
      <c r="M123" s="22" t="s">
        <v>15</v>
      </c>
      <c r="N123" s="22" t="s">
        <v>16</v>
      </c>
      <c r="O123" s="23">
        <v>1</v>
      </c>
      <c r="P123" s="20">
        <v>0.79909477074594493</v>
      </c>
    </row>
    <row r="124" spans="1:16">
      <c r="A124" s="16" t="s">
        <v>143</v>
      </c>
      <c r="B124" s="16"/>
      <c r="C124" s="18"/>
      <c r="D124" s="18"/>
      <c r="E124" s="19"/>
      <c r="F124" s="20"/>
      <c r="G124" s="21"/>
      <c r="H124" s="19"/>
      <c r="I124" s="20"/>
      <c r="J124" s="21"/>
      <c r="K124" s="21"/>
      <c r="L124" s="21"/>
      <c r="M124" s="22"/>
      <c r="N124" s="22"/>
      <c r="O124" s="23" t="s">
        <v>14</v>
      </c>
      <c r="P124" s="20"/>
    </row>
    <row r="125" spans="1:16">
      <c r="A125" s="16" t="s">
        <v>144</v>
      </c>
      <c r="B125" s="16" t="s">
        <v>587</v>
      </c>
      <c r="C125" s="18" t="s">
        <v>12</v>
      </c>
      <c r="D125" s="18" t="s">
        <v>13</v>
      </c>
      <c r="E125" s="19">
        <v>7</v>
      </c>
      <c r="F125" s="20">
        <v>0.30556476742862476</v>
      </c>
      <c r="G125" s="21">
        <v>2.1389533720003735</v>
      </c>
      <c r="H125" s="19">
        <v>7</v>
      </c>
      <c r="I125" s="20">
        <v>0.30556476742862476</v>
      </c>
      <c r="J125" s="21">
        <v>2.1389533720003735</v>
      </c>
      <c r="K125" s="21">
        <v>0.51200000000000012</v>
      </c>
      <c r="L125" s="21">
        <v>1.0951441264641915</v>
      </c>
      <c r="M125" s="22" t="s">
        <v>15</v>
      </c>
      <c r="N125" s="22" t="s">
        <v>16</v>
      </c>
      <c r="O125" s="23">
        <v>1</v>
      </c>
      <c r="P125" s="20">
        <v>0.54531827687277212</v>
      </c>
    </row>
    <row r="126" spans="1:16">
      <c r="A126" s="16" t="s">
        <v>145</v>
      </c>
      <c r="B126" s="16" t="s">
        <v>588</v>
      </c>
      <c r="C126" s="18" t="s">
        <v>20</v>
      </c>
      <c r="D126" s="18" t="s">
        <v>20</v>
      </c>
      <c r="E126" s="19">
        <v>15</v>
      </c>
      <c r="F126" s="20">
        <v>0.36169425598386251</v>
      </c>
      <c r="G126" s="21">
        <v>5.4254138397579377</v>
      </c>
      <c r="H126" s="19">
        <v>22</v>
      </c>
      <c r="I126" s="20">
        <v>0.33898802021591457</v>
      </c>
      <c r="J126" s="21">
        <v>7.45773644475012</v>
      </c>
      <c r="K126" s="21">
        <v>0.51200000000000012</v>
      </c>
      <c r="L126" s="21">
        <v>3.8183610597120623</v>
      </c>
      <c r="M126" s="22" t="s">
        <v>18</v>
      </c>
      <c r="N126" s="22" t="s">
        <v>16</v>
      </c>
      <c r="O126" s="23">
        <v>0.4</v>
      </c>
      <c r="P126" s="20">
        <v>0.9891450956747293</v>
      </c>
    </row>
    <row r="127" spans="1:16">
      <c r="A127" s="16" t="s">
        <v>146</v>
      </c>
      <c r="B127" s="16" t="s">
        <v>592</v>
      </c>
      <c r="C127" s="18" t="s">
        <v>12</v>
      </c>
      <c r="D127" s="18" t="s">
        <v>13</v>
      </c>
      <c r="E127" s="19">
        <v>19</v>
      </c>
      <c r="F127" s="20">
        <v>0.29252075967611191</v>
      </c>
      <c r="G127" s="21">
        <v>5.5578944338461262</v>
      </c>
      <c r="H127" s="19">
        <v>19</v>
      </c>
      <c r="I127" s="20">
        <v>0.29252075967611191</v>
      </c>
      <c r="J127" s="21">
        <v>5.5578944338461262</v>
      </c>
      <c r="K127" s="21">
        <v>0.51200000000000012</v>
      </c>
      <c r="L127" s="21">
        <v>2.8456419501292172</v>
      </c>
      <c r="M127" s="22" t="s">
        <v>28</v>
      </c>
      <c r="N127" s="22" t="s">
        <v>16</v>
      </c>
      <c r="O127" s="23">
        <v>1.6</v>
      </c>
      <c r="P127" s="20">
        <v>0.75979758686858245</v>
      </c>
    </row>
    <row r="128" spans="1:16">
      <c r="A128" s="16" t="s">
        <v>147</v>
      </c>
      <c r="B128" s="16" t="s">
        <v>592</v>
      </c>
      <c r="C128" s="18" t="s">
        <v>12</v>
      </c>
      <c r="D128" s="18" t="s">
        <v>13</v>
      </c>
      <c r="E128" s="19">
        <v>19</v>
      </c>
      <c r="F128" s="20">
        <v>0.29252075967611191</v>
      </c>
      <c r="G128" s="21">
        <v>5.5578944338461262</v>
      </c>
      <c r="H128" s="19">
        <v>19</v>
      </c>
      <c r="I128" s="20">
        <v>0.29252075967611191</v>
      </c>
      <c r="J128" s="21">
        <v>5.5578944338461262</v>
      </c>
      <c r="K128" s="21">
        <v>0.51200000000000012</v>
      </c>
      <c r="L128" s="21">
        <v>2.8456419501292172</v>
      </c>
      <c r="M128" s="22" t="s">
        <v>28</v>
      </c>
      <c r="N128" s="22" t="s">
        <v>16</v>
      </c>
      <c r="O128" s="23">
        <v>1.6</v>
      </c>
      <c r="P128" s="20">
        <v>0.75979758686858245</v>
      </c>
    </row>
    <row r="129" spans="1:16">
      <c r="A129" s="16" t="s">
        <v>148</v>
      </c>
      <c r="B129" s="16" t="s">
        <v>588</v>
      </c>
      <c r="C129" s="18" t="s">
        <v>20</v>
      </c>
      <c r="D129" s="18" t="s">
        <v>20</v>
      </c>
      <c r="E129" s="19">
        <v>11</v>
      </c>
      <c r="F129" s="20">
        <v>0.27106371062380985</v>
      </c>
      <c r="G129" s="21">
        <v>2.9817008168619084</v>
      </c>
      <c r="H129" s="19">
        <v>18</v>
      </c>
      <c r="I129" s="20">
        <v>0.27855685676967173</v>
      </c>
      <c r="J129" s="21">
        <v>5.0140234218540911</v>
      </c>
      <c r="K129" s="21">
        <v>0.51200000000000012</v>
      </c>
      <c r="L129" s="21">
        <v>2.5671799919892955</v>
      </c>
      <c r="M129" s="22" t="s">
        <v>18</v>
      </c>
      <c r="N129" s="22" t="s">
        <v>18</v>
      </c>
      <c r="O129" s="23">
        <v>1</v>
      </c>
      <c r="P129" s="20">
        <v>0.86825486500659477</v>
      </c>
    </row>
    <row r="130" spans="1:16">
      <c r="A130" s="16" t="s">
        <v>149</v>
      </c>
      <c r="B130" s="16" t="s">
        <v>593</v>
      </c>
      <c r="C130" s="18" t="s">
        <v>20</v>
      </c>
      <c r="D130" s="18" t="s">
        <v>20</v>
      </c>
      <c r="E130" s="19">
        <v>9</v>
      </c>
      <c r="F130" s="20">
        <v>0.26536852331840094</v>
      </c>
      <c r="G130" s="21">
        <v>2.3883167098656086</v>
      </c>
      <c r="H130" s="19">
        <v>16</v>
      </c>
      <c r="I130" s="20">
        <v>0.27628995717861193</v>
      </c>
      <c r="J130" s="21">
        <v>4.4206393148577909</v>
      </c>
      <c r="K130" s="21">
        <v>0.51200000000000012</v>
      </c>
      <c r="L130" s="21">
        <v>2.2633673292071896</v>
      </c>
      <c r="M130" s="22" t="s">
        <v>18</v>
      </c>
      <c r="N130" s="22" t="s">
        <v>18</v>
      </c>
      <c r="O130" s="23">
        <v>1</v>
      </c>
      <c r="P130" s="20">
        <v>0.83667687527613688</v>
      </c>
    </row>
    <row r="131" spans="1:16">
      <c r="A131" s="16" t="s">
        <v>150</v>
      </c>
      <c r="B131" s="16" t="s">
        <v>592</v>
      </c>
      <c r="C131" s="18" t="s">
        <v>12</v>
      </c>
      <c r="D131" s="18" t="s">
        <v>13</v>
      </c>
      <c r="E131" s="19">
        <v>23</v>
      </c>
      <c r="F131" s="20">
        <v>0.28542907955283342</v>
      </c>
      <c r="G131" s="21">
        <v>6.5648688297151683</v>
      </c>
      <c r="H131" s="19">
        <v>23</v>
      </c>
      <c r="I131" s="20">
        <v>0.28542907955283342</v>
      </c>
      <c r="J131" s="21">
        <v>6.5648688297151683</v>
      </c>
      <c r="K131" s="21">
        <v>0.51200000000000012</v>
      </c>
      <c r="L131" s="21">
        <v>3.3612128408141668</v>
      </c>
      <c r="M131" s="22" t="s">
        <v>18</v>
      </c>
      <c r="N131" s="22" t="s">
        <v>18</v>
      </c>
      <c r="O131" s="23">
        <v>1</v>
      </c>
      <c r="P131" s="20">
        <v>0.91868432381676024</v>
      </c>
    </row>
    <row r="132" spans="1:16">
      <c r="A132" s="16" t="s">
        <v>151</v>
      </c>
      <c r="B132" s="16" t="s">
        <v>592</v>
      </c>
      <c r="C132" s="18" t="s">
        <v>12</v>
      </c>
      <c r="D132" s="18" t="s">
        <v>13</v>
      </c>
      <c r="E132" s="19">
        <v>23</v>
      </c>
      <c r="F132" s="20">
        <v>0.28542907955283342</v>
      </c>
      <c r="G132" s="21">
        <v>6.5648688297151683</v>
      </c>
      <c r="H132" s="19">
        <v>23</v>
      </c>
      <c r="I132" s="20">
        <v>0.28542907955283342</v>
      </c>
      <c r="J132" s="21">
        <v>6.5648688297151683</v>
      </c>
      <c r="K132" s="21">
        <v>0.51200000000000012</v>
      </c>
      <c r="L132" s="21">
        <v>3.3612128408141668</v>
      </c>
      <c r="M132" s="22" t="s">
        <v>18</v>
      </c>
      <c r="N132" s="22" t="s">
        <v>18</v>
      </c>
      <c r="O132" s="23">
        <v>1</v>
      </c>
      <c r="P132" s="20">
        <v>0.91868432381676024</v>
      </c>
    </row>
    <row r="133" spans="1:16">
      <c r="A133" s="16" t="s">
        <v>152</v>
      </c>
      <c r="B133" s="16" t="s">
        <v>592</v>
      </c>
      <c r="C133" s="18" t="s">
        <v>12</v>
      </c>
      <c r="D133" s="18" t="s">
        <v>13</v>
      </c>
      <c r="E133" s="19">
        <v>23</v>
      </c>
      <c r="F133" s="20">
        <v>0.28542907955283342</v>
      </c>
      <c r="G133" s="21">
        <v>6.5648688297151683</v>
      </c>
      <c r="H133" s="19">
        <v>23</v>
      </c>
      <c r="I133" s="20">
        <v>0.28542907955283342</v>
      </c>
      <c r="J133" s="21">
        <v>6.5648688297151683</v>
      </c>
      <c r="K133" s="21">
        <v>0.51200000000000012</v>
      </c>
      <c r="L133" s="21">
        <v>3.3612128408141668</v>
      </c>
      <c r="M133" s="22" t="s">
        <v>18</v>
      </c>
      <c r="N133" s="22" t="s">
        <v>18</v>
      </c>
      <c r="O133" s="23">
        <v>1</v>
      </c>
      <c r="P133" s="20">
        <v>0.91868432381676024</v>
      </c>
    </row>
    <row r="134" spans="1:16">
      <c r="A134" s="16" t="s">
        <v>153</v>
      </c>
      <c r="B134" s="16" t="s">
        <v>592</v>
      </c>
      <c r="C134" s="18" t="s">
        <v>12</v>
      </c>
      <c r="D134" s="18" t="s">
        <v>13</v>
      </c>
      <c r="E134" s="19">
        <v>23</v>
      </c>
      <c r="F134" s="20">
        <v>0.28542907955283342</v>
      </c>
      <c r="G134" s="21">
        <v>6.5648688297151683</v>
      </c>
      <c r="H134" s="19">
        <v>23</v>
      </c>
      <c r="I134" s="20">
        <v>0.28542907955283342</v>
      </c>
      <c r="J134" s="21">
        <v>6.5648688297151683</v>
      </c>
      <c r="K134" s="21">
        <v>0.51200000000000012</v>
      </c>
      <c r="L134" s="21">
        <v>3.3612128408141668</v>
      </c>
      <c r="M134" s="22" t="s">
        <v>18</v>
      </c>
      <c r="N134" s="22" t="s">
        <v>18</v>
      </c>
      <c r="O134" s="23">
        <v>1</v>
      </c>
      <c r="P134" s="20">
        <v>0.91868432381676024</v>
      </c>
    </row>
    <row r="135" spans="1:16">
      <c r="A135" s="16" t="s">
        <v>154</v>
      </c>
      <c r="B135" s="16"/>
      <c r="C135" s="18"/>
      <c r="D135" s="18"/>
      <c r="E135" s="19"/>
      <c r="F135" s="20"/>
      <c r="G135" s="21"/>
      <c r="H135" s="19"/>
      <c r="I135" s="20"/>
      <c r="J135" s="21"/>
      <c r="K135" s="21"/>
      <c r="L135" s="21"/>
      <c r="M135" s="22"/>
      <c r="N135" s="22"/>
      <c r="O135" s="23" t="s">
        <v>14</v>
      </c>
      <c r="P135" s="20"/>
    </row>
    <row r="136" spans="1:16">
      <c r="A136" s="16" t="s">
        <v>155</v>
      </c>
      <c r="B136" s="16" t="s">
        <v>587</v>
      </c>
      <c r="C136" s="18" t="s">
        <v>12</v>
      </c>
      <c r="D136" s="18" t="s">
        <v>13</v>
      </c>
      <c r="E136" s="19">
        <v>7</v>
      </c>
      <c r="F136" s="20">
        <v>0.30556476742862476</v>
      </c>
      <c r="G136" s="21">
        <v>2.1389533720003735</v>
      </c>
      <c r="H136" s="19">
        <v>7</v>
      </c>
      <c r="I136" s="20">
        <v>0.30556476742862476</v>
      </c>
      <c r="J136" s="21">
        <v>2.1389533720003735</v>
      </c>
      <c r="K136" s="21">
        <v>0.51200000000000012</v>
      </c>
      <c r="L136" s="21">
        <v>1.0951441264641915</v>
      </c>
      <c r="M136" s="22" t="s">
        <v>15</v>
      </c>
      <c r="N136" s="22" t="s">
        <v>16</v>
      </c>
      <c r="O136" s="23">
        <v>1</v>
      </c>
      <c r="P136" s="20">
        <v>0.54531827687277212</v>
      </c>
    </row>
    <row r="137" spans="1:16">
      <c r="A137" s="16" t="s">
        <v>156</v>
      </c>
      <c r="B137" s="16" t="s">
        <v>588</v>
      </c>
      <c r="C137" s="18" t="s">
        <v>20</v>
      </c>
      <c r="D137" s="18" t="s">
        <v>20</v>
      </c>
      <c r="E137" s="19">
        <v>15</v>
      </c>
      <c r="F137" s="20">
        <v>0.36169425598386251</v>
      </c>
      <c r="G137" s="21">
        <v>5.4254138397579377</v>
      </c>
      <c r="H137" s="19">
        <v>17</v>
      </c>
      <c r="I137" s="20">
        <v>0.35587252588166363</v>
      </c>
      <c r="J137" s="21">
        <v>6.0498329399882813</v>
      </c>
      <c r="K137" s="21">
        <v>0.51200000000000012</v>
      </c>
      <c r="L137" s="21">
        <v>3.097514465274001</v>
      </c>
      <c r="M137" s="22" t="s">
        <v>18</v>
      </c>
      <c r="N137" s="22" t="s">
        <v>16</v>
      </c>
      <c r="O137" s="23">
        <v>0.4</v>
      </c>
      <c r="P137" s="20">
        <v>0.98359747525638097</v>
      </c>
    </row>
    <row r="138" spans="1:16">
      <c r="A138" s="16" t="s">
        <v>157</v>
      </c>
      <c r="B138" s="16" t="s">
        <v>588</v>
      </c>
      <c r="C138" s="18" t="s">
        <v>20</v>
      </c>
      <c r="D138" s="18" t="s">
        <v>20</v>
      </c>
      <c r="E138" s="19">
        <v>13</v>
      </c>
      <c r="F138" s="20">
        <v>0.35156355635542774</v>
      </c>
      <c r="G138" s="21">
        <v>4.5703262326205607</v>
      </c>
      <c r="H138" s="19">
        <v>15</v>
      </c>
      <c r="I138" s="20">
        <v>0.34631635552339363</v>
      </c>
      <c r="J138" s="21">
        <v>5.1947453328509043</v>
      </c>
      <c r="K138" s="21">
        <v>0.51200000000000012</v>
      </c>
      <c r="L138" s="21">
        <v>2.6597096104196636</v>
      </c>
      <c r="M138" s="22" t="s">
        <v>22</v>
      </c>
      <c r="N138" s="22" t="s">
        <v>18</v>
      </c>
      <c r="O138" s="23">
        <v>0.5</v>
      </c>
      <c r="P138" s="20">
        <v>0.96586590450620491</v>
      </c>
    </row>
    <row r="139" spans="1:16">
      <c r="A139" s="16" t="s">
        <v>158</v>
      </c>
      <c r="B139" s="16" t="s">
        <v>588</v>
      </c>
      <c r="C139" s="18" t="s">
        <v>20</v>
      </c>
      <c r="D139" s="18" t="s">
        <v>20</v>
      </c>
      <c r="E139" s="19">
        <v>10</v>
      </c>
      <c r="F139" s="20">
        <v>0.26347967660347471</v>
      </c>
      <c r="G139" s="21">
        <v>2.6347967660347473</v>
      </c>
      <c r="H139" s="19">
        <v>12</v>
      </c>
      <c r="I139" s="20">
        <v>0.2716013221887576</v>
      </c>
      <c r="J139" s="21">
        <v>3.259215866265091</v>
      </c>
      <c r="K139" s="21">
        <v>0.51200000000000012</v>
      </c>
      <c r="L139" s="21">
        <v>1.6687185235277269</v>
      </c>
      <c r="M139" s="22" t="s">
        <v>18</v>
      </c>
      <c r="N139" s="22" t="s">
        <v>18</v>
      </c>
      <c r="O139" s="23">
        <v>1</v>
      </c>
      <c r="P139" s="20">
        <v>0.73577278542762836</v>
      </c>
    </row>
    <row r="140" spans="1:16">
      <c r="A140" s="16" t="s">
        <v>159</v>
      </c>
      <c r="B140" s="16" t="s">
        <v>587</v>
      </c>
      <c r="C140" s="18" t="s">
        <v>20</v>
      </c>
      <c r="D140" s="18" t="s">
        <v>20</v>
      </c>
      <c r="E140" s="19">
        <v>21</v>
      </c>
      <c r="F140" s="20">
        <v>0.27917427570185033</v>
      </c>
      <c r="G140" s="21">
        <v>5.8626597897388573</v>
      </c>
      <c r="H140" s="19">
        <v>23</v>
      </c>
      <c r="I140" s="20">
        <v>0.28204690825953049</v>
      </c>
      <c r="J140" s="21">
        <v>6.4870788899692009</v>
      </c>
      <c r="K140" s="21">
        <v>0.51200000000000012</v>
      </c>
      <c r="L140" s="21">
        <v>3.3213843916642318</v>
      </c>
      <c r="M140" s="22" t="s">
        <v>22</v>
      </c>
      <c r="N140" s="22" t="s">
        <v>18</v>
      </c>
      <c r="O140" s="23">
        <v>0.5</v>
      </c>
      <c r="P140" s="20">
        <v>0.97784001145073507</v>
      </c>
    </row>
    <row r="141" spans="1:16">
      <c r="A141" s="16" t="s">
        <v>160</v>
      </c>
      <c r="B141" s="16" t="s">
        <v>606</v>
      </c>
      <c r="C141" s="18" t="s">
        <v>12</v>
      </c>
      <c r="D141" s="18" t="s">
        <v>13</v>
      </c>
      <c r="E141" s="19">
        <v>13</v>
      </c>
      <c r="F141" s="20">
        <v>0.31885433280171915</v>
      </c>
      <c r="G141" s="21">
        <v>4.1451063264223489</v>
      </c>
      <c r="H141" s="19">
        <v>13</v>
      </c>
      <c r="I141" s="20">
        <v>0.31885433280171915</v>
      </c>
      <c r="J141" s="21">
        <v>4.1451063264223489</v>
      </c>
      <c r="K141" s="21">
        <v>0.51200000000000012</v>
      </c>
      <c r="L141" s="21">
        <v>2.1222944391282432</v>
      </c>
      <c r="M141" s="22" t="s">
        <v>18</v>
      </c>
      <c r="N141" s="22" t="s">
        <v>16</v>
      </c>
      <c r="O141" s="23">
        <v>0.4</v>
      </c>
      <c r="P141" s="20">
        <v>0.96569566595655387</v>
      </c>
    </row>
    <row r="142" spans="1:16">
      <c r="A142" s="16" t="s">
        <v>161</v>
      </c>
      <c r="B142" s="16" t="s">
        <v>587</v>
      </c>
      <c r="C142" s="18" t="s">
        <v>20</v>
      </c>
      <c r="D142" s="18" t="s">
        <v>20</v>
      </c>
      <c r="E142" s="19"/>
      <c r="F142" s="20"/>
      <c r="G142" s="21"/>
      <c r="H142" s="19"/>
      <c r="I142" s="20"/>
      <c r="J142" s="21"/>
      <c r="K142" s="21"/>
      <c r="L142" s="21"/>
      <c r="M142" s="22"/>
      <c r="N142" s="22"/>
      <c r="O142" s="23" t="s">
        <v>14</v>
      </c>
      <c r="P142" s="20"/>
    </row>
    <row r="143" spans="1:16">
      <c r="A143" s="16" t="s">
        <v>162</v>
      </c>
      <c r="B143" s="16" t="s">
        <v>590</v>
      </c>
      <c r="C143" s="18" t="s">
        <v>20</v>
      </c>
      <c r="D143" s="18" t="s">
        <v>27</v>
      </c>
      <c r="E143" s="19">
        <v>16</v>
      </c>
      <c r="F143" s="20">
        <v>0.35390175728744205</v>
      </c>
      <c r="G143" s="21">
        <v>5.6624281165990729</v>
      </c>
      <c r="H143" s="19">
        <v>21</v>
      </c>
      <c r="I143" s="20">
        <v>0.34393990108653888</v>
      </c>
      <c r="J143" s="21">
        <v>7.2227379228173163</v>
      </c>
      <c r="K143" s="21">
        <v>0.51200000000000012</v>
      </c>
      <c r="L143" s="21">
        <v>3.6980418164824669</v>
      </c>
      <c r="M143" s="22" t="s">
        <v>22</v>
      </c>
      <c r="N143" s="22" t="s">
        <v>16</v>
      </c>
      <c r="O143" s="23">
        <v>0.2</v>
      </c>
      <c r="P143" s="20">
        <v>0.99708359438004612</v>
      </c>
    </row>
    <row r="144" spans="1:16">
      <c r="A144" s="16" t="s">
        <v>163</v>
      </c>
      <c r="B144" s="16" t="s">
        <v>590</v>
      </c>
      <c r="C144" s="18" t="s">
        <v>20</v>
      </c>
      <c r="D144" s="18" t="s">
        <v>20</v>
      </c>
      <c r="E144" s="19">
        <v>13</v>
      </c>
      <c r="F144" s="20">
        <v>0.35156355635542774</v>
      </c>
      <c r="G144" s="21">
        <v>4.5703262326205607</v>
      </c>
      <c r="H144" s="19">
        <v>18</v>
      </c>
      <c r="I144" s="20">
        <v>0.34059089104660023</v>
      </c>
      <c r="J144" s="21">
        <v>6.1306360388388041</v>
      </c>
      <c r="K144" s="21">
        <v>0.51200000000000012</v>
      </c>
      <c r="L144" s="21">
        <v>3.1388856518854684</v>
      </c>
      <c r="M144" s="22" t="s">
        <v>22</v>
      </c>
      <c r="N144" s="22" t="s">
        <v>18</v>
      </c>
      <c r="O144" s="23">
        <v>0.5</v>
      </c>
      <c r="P144" s="20">
        <v>0.9752539027175352</v>
      </c>
    </row>
    <row r="145" spans="1:16">
      <c r="A145" s="16" t="s">
        <v>164</v>
      </c>
      <c r="B145" s="16" t="s">
        <v>588</v>
      </c>
      <c r="C145" s="18" t="s">
        <v>20</v>
      </c>
      <c r="D145" s="18" t="s">
        <v>27</v>
      </c>
      <c r="E145" s="19">
        <v>17</v>
      </c>
      <c r="F145" s="20">
        <v>0.30198124189115788</v>
      </c>
      <c r="G145" s="21">
        <v>5.1336811121496844</v>
      </c>
      <c r="H145" s="19">
        <v>22</v>
      </c>
      <c r="I145" s="20">
        <v>0.30427231447126946</v>
      </c>
      <c r="J145" s="21">
        <v>6.6939909183679278</v>
      </c>
      <c r="K145" s="21">
        <v>0.51200000000000012</v>
      </c>
      <c r="L145" s="21">
        <v>3.4273233502043801</v>
      </c>
      <c r="M145" s="22" t="s">
        <v>18</v>
      </c>
      <c r="N145" s="22" t="s">
        <v>18</v>
      </c>
      <c r="O145" s="23">
        <v>1</v>
      </c>
      <c r="P145" s="20">
        <v>0.92154737046091928</v>
      </c>
    </row>
    <row r="146" spans="1:16">
      <c r="A146" s="16" t="s">
        <v>165</v>
      </c>
      <c r="B146" s="16" t="s">
        <v>587</v>
      </c>
      <c r="C146" s="18" t="s">
        <v>20</v>
      </c>
      <c r="D146" s="18" t="s">
        <v>27</v>
      </c>
      <c r="E146" s="19">
        <v>10</v>
      </c>
      <c r="F146" s="20">
        <v>0.28000770680930015</v>
      </c>
      <c r="G146" s="21">
        <v>2.8000770680930014</v>
      </c>
      <c r="H146" s="19">
        <v>15</v>
      </c>
      <c r="I146" s="20">
        <v>0.2906924582874163</v>
      </c>
      <c r="J146" s="21">
        <v>4.3603868743112448</v>
      </c>
      <c r="K146" s="21">
        <v>0.51200000000000012</v>
      </c>
      <c r="L146" s="21">
        <v>2.2325180796473578</v>
      </c>
      <c r="M146" s="22" t="s">
        <v>22</v>
      </c>
      <c r="N146" s="22" t="s">
        <v>16</v>
      </c>
      <c r="O146" s="23">
        <v>0.2</v>
      </c>
      <c r="P146" s="20">
        <v>0.99203843362721655</v>
      </c>
    </row>
    <row r="147" spans="1:16">
      <c r="A147" s="16" t="s">
        <v>166</v>
      </c>
      <c r="B147" s="16" t="s">
        <v>591</v>
      </c>
      <c r="C147" s="18" t="s">
        <v>20</v>
      </c>
      <c r="D147" s="18" t="s">
        <v>20</v>
      </c>
      <c r="E147" s="19">
        <v>9</v>
      </c>
      <c r="F147" s="20">
        <v>0.2992282102052522</v>
      </c>
      <c r="G147" s="21">
        <v>2.6930538918472697</v>
      </c>
      <c r="H147" s="19">
        <v>14</v>
      </c>
      <c r="I147" s="20">
        <v>0.30381169271896524</v>
      </c>
      <c r="J147" s="21">
        <v>4.2533636980655132</v>
      </c>
      <c r="K147" s="21">
        <v>0.51200000000000012</v>
      </c>
      <c r="L147" s="21">
        <v>2.1777222134095431</v>
      </c>
      <c r="M147" s="22" t="s">
        <v>18</v>
      </c>
      <c r="N147" s="22" t="s">
        <v>18</v>
      </c>
      <c r="O147" s="23">
        <v>1</v>
      </c>
      <c r="P147" s="20">
        <v>0.82585902988027926</v>
      </c>
    </row>
    <row r="148" spans="1:16">
      <c r="A148" s="16" t="s">
        <v>167</v>
      </c>
      <c r="B148" s="16" t="s">
        <v>587</v>
      </c>
      <c r="C148" s="18" t="s">
        <v>20</v>
      </c>
      <c r="D148" s="18" t="s">
        <v>20</v>
      </c>
      <c r="E148" s="19"/>
      <c r="F148" s="20"/>
      <c r="G148" s="21"/>
      <c r="H148" s="19"/>
      <c r="I148" s="20"/>
      <c r="J148" s="21"/>
      <c r="K148" s="21"/>
      <c r="L148" s="21"/>
      <c r="M148" s="22"/>
      <c r="N148" s="22"/>
      <c r="O148" s="23" t="s">
        <v>14</v>
      </c>
      <c r="P148" s="20"/>
    </row>
    <row r="149" spans="1:16">
      <c r="A149" s="16" t="s">
        <v>168</v>
      </c>
      <c r="B149" s="16" t="s">
        <v>587</v>
      </c>
      <c r="C149" s="18" t="s">
        <v>20</v>
      </c>
      <c r="D149" s="18" t="s">
        <v>20</v>
      </c>
      <c r="E149" s="19">
        <v>21</v>
      </c>
      <c r="F149" s="20">
        <v>0.26795155669214094</v>
      </c>
      <c r="G149" s="21">
        <v>5.6269826905349598</v>
      </c>
      <c r="H149" s="19">
        <v>23</v>
      </c>
      <c r="I149" s="20">
        <v>0.271800077859361</v>
      </c>
      <c r="J149" s="21">
        <v>6.2514017907653034</v>
      </c>
      <c r="K149" s="21">
        <v>0.51200000000000012</v>
      </c>
      <c r="L149" s="21">
        <v>3.2007177168718361</v>
      </c>
      <c r="M149" s="22" t="s">
        <v>22</v>
      </c>
      <c r="N149" s="22" t="s">
        <v>18</v>
      </c>
      <c r="O149" s="23">
        <v>0.5</v>
      </c>
      <c r="P149" s="20">
        <v>0.97617821115248515</v>
      </c>
    </row>
    <row r="150" spans="1:16">
      <c r="A150" s="16" t="s">
        <v>169</v>
      </c>
      <c r="B150" s="16" t="s">
        <v>587</v>
      </c>
      <c r="C150" s="18" t="s">
        <v>20</v>
      </c>
      <c r="D150" s="18" t="s">
        <v>20</v>
      </c>
      <c r="E150" s="19">
        <v>21</v>
      </c>
      <c r="F150" s="20">
        <v>0.26795155669214094</v>
      </c>
      <c r="G150" s="21">
        <v>5.6269826905349598</v>
      </c>
      <c r="H150" s="19">
        <v>23</v>
      </c>
      <c r="I150" s="20">
        <v>0.271800077859361</v>
      </c>
      <c r="J150" s="21">
        <v>6.2514017907653034</v>
      </c>
      <c r="K150" s="21">
        <v>0.51200000000000012</v>
      </c>
      <c r="L150" s="21">
        <v>3.2007177168718361</v>
      </c>
      <c r="M150" s="22" t="s">
        <v>22</v>
      </c>
      <c r="N150" s="22" t="s">
        <v>18</v>
      </c>
      <c r="O150" s="23">
        <v>0.5</v>
      </c>
      <c r="P150" s="20">
        <v>0.97617821115248515</v>
      </c>
    </row>
    <row r="151" spans="1:16">
      <c r="A151" s="16" t="s">
        <v>170</v>
      </c>
      <c r="B151" s="16" t="s">
        <v>587</v>
      </c>
      <c r="C151" s="18" t="s">
        <v>20</v>
      </c>
      <c r="D151" s="18" t="s">
        <v>20</v>
      </c>
      <c r="E151" s="19">
        <v>21</v>
      </c>
      <c r="F151" s="20">
        <v>0.26795155669214094</v>
      </c>
      <c r="G151" s="21">
        <v>5.6269826905349598</v>
      </c>
      <c r="H151" s="19">
        <v>23</v>
      </c>
      <c r="I151" s="20">
        <v>0.271800077859361</v>
      </c>
      <c r="J151" s="21">
        <v>6.2514017907653034</v>
      </c>
      <c r="K151" s="21">
        <v>0.51200000000000012</v>
      </c>
      <c r="L151" s="21">
        <v>3.2007177168718361</v>
      </c>
      <c r="M151" s="22" t="s">
        <v>22</v>
      </c>
      <c r="N151" s="22" t="s">
        <v>18</v>
      </c>
      <c r="O151" s="23">
        <v>0.5</v>
      </c>
      <c r="P151" s="20">
        <v>0.97617821115248515</v>
      </c>
    </row>
    <row r="152" spans="1:16">
      <c r="A152" s="16" t="s">
        <v>171</v>
      </c>
      <c r="B152" s="16" t="s">
        <v>589</v>
      </c>
      <c r="C152" s="18" t="s">
        <v>20</v>
      </c>
      <c r="D152" s="18" t="s">
        <v>20</v>
      </c>
      <c r="E152" s="19"/>
      <c r="F152" s="20"/>
      <c r="G152" s="21"/>
      <c r="H152" s="19"/>
      <c r="I152" s="20"/>
      <c r="J152" s="21"/>
      <c r="K152" s="21"/>
      <c r="L152" s="21"/>
      <c r="M152" s="22"/>
      <c r="N152" s="22"/>
      <c r="O152" s="23" t="s">
        <v>14</v>
      </c>
      <c r="P152" s="20"/>
    </row>
    <row r="153" spans="1:16">
      <c r="A153" s="16" t="s">
        <v>172</v>
      </c>
      <c r="B153" s="16" t="s">
        <v>604</v>
      </c>
      <c r="C153" s="18" t="s">
        <v>20</v>
      </c>
      <c r="D153" s="18" t="s">
        <v>20</v>
      </c>
      <c r="E153" s="19">
        <v>8</v>
      </c>
      <c r="F153" s="20">
        <v>0.31876622111834085</v>
      </c>
      <c r="G153" s="21">
        <v>2.5501297689467268</v>
      </c>
      <c r="H153" s="19">
        <v>10</v>
      </c>
      <c r="I153" s="20">
        <v>0.31745488691770707</v>
      </c>
      <c r="J153" s="21">
        <v>3.1745488691770705</v>
      </c>
      <c r="K153" s="21">
        <v>0.51200000000000012</v>
      </c>
      <c r="L153" s="21">
        <v>1.6253690210186604</v>
      </c>
      <c r="M153" s="22" t="s">
        <v>22</v>
      </c>
      <c r="N153" s="22" t="s">
        <v>18</v>
      </c>
      <c r="O153" s="23">
        <v>0.5</v>
      </c>
      <c r="P153" s="20">
        <v>0.91354938588610302</v>
      </c>
    </row>
    <row r="154" spans="1:16">
      <c r="A154" s="16" t="s">
        <v>173</v>
      </c>
      <c r="B154" s="16" t="s">
        <v>589</v>
      </c>
      <c r="C154" s="18" t="s">
        <v>20</v>
      </c>
      <c r="D154" s="18" t="s">
        <v>20</v>
      </c>
      <c r="E154" s="19">
        <v>16</v>
      </c>
      <c r="F154" s="20">
        <v>0.33108911426536169</v>
      </c>
      <c r="G154" s="21">
        <v>5.2974258282457871</v>
      </c>
      <c r="H154" s="19">
        <v>18</v>
      </c>
      <c r="I154" s="20">
        <v>0.32899138491534058</v>
      </c>
      <c r="J154" s="21">
        <v>5.9218449284761308</v>
      </c>
      <c r="K154" s="21">
        <v>0.51200000000000012</v>
      </c>
      <c r="L154" s="21">
        <v>3.0319846033797795</v>
      </c>
      <c r="M154" s="22" t="s">
        <v>18</v>
      </c>
      <c r="N154" s="22" t="s">
        <v>16</v>
      </c>
      <c r="O154" s="23">
        <v>0.4</v>
      </c>
      <c r="P154" s="20">
        <v>0.98289306248043806</v>
      </c>
    </row>
    <row r="155" spans="1:16">
      <c r="A155" s="16" t="s">
        <v>174</v>
      </c>
      <c r="B155" s="16" t="s">
        <v>589</v>
      </c>
      <c r="C155" s="18" t="s">
        <v>20</v>
      </c>
      <c r="D155" s="18" t="s">
        <v>20</v>
      </c>
      <c r="E155" s="19">
        <v>17</v>
      </c>
      <c r="F155" s="20">
        <v>0.32440190974294808</v>
      </c>
      <c r="G155" s="21">
        <v>5.5148324656301178</v>
      </c>
      <c r="H155" s="19">
        <v>19</v>
      </c>
      <c r="I155" s="20">
        <v>0.32311850346634008</v>
      </c>
      <c r="J155" s="21">
        <v>6.1392515658604614</v>
      </c>
      <c r="K155" s="21">
        <v>0.51200000000000012</v>
      </c>
      <c r="L155" s="21">
        <v>3.1432968017205569</v>
      </c>
      <c r="M155" s="22" t="s">
        <v>18</v>
      </c>
      <c r="N155" s="22" t="s">
        <v>16</v>
      </c>
      <c r="O155" s="23">
        <v>0.4</v>
      </c>
      <c r="P155" s="20">
        <v>0.98406424465300169</v>
      </c>
    </row>
    <row r="156" spans="1:16">
      <c r="A156" s="16" t="s">
        <v>175</v>
      </c>
      <c r="B156" s="16" t="s">
        <v>593</v>
      </c>
      <c r="C156" s="18" t="s">
        <v>20</v>
      </c>
      <c r="D156" s="18" t="s">
        <v>20</v>
      </c>
      <c r="E156" s="19">
        <v>20</v>
      </c>
      <c r="F156" s="20">
        <v>0.30682875486653838</v>
      </c>
      <c r="G156" s="21">
        <v>6.136575097330768</v>
      </c>
      <c r="H156" s="19">
        <v>22</v>
      </c>
      <c r="I156" s="20">
        <v>0.30731791807095959</v>
      </c>
      <c r="J156" s="21">
        <v>6.7609941975611108</v>
      </c>
      <c r="K156" s="21">
        <v>0.51200000000000012</v>
      </c>
      <c r="L156" s="21">
        <v>3.4616290291512897</v>
      </c>
      <c r="M156" s="22" t="s">
        <v>15</v>
      </c>
      <c r="N156" s="22" t="s">
        <v>18</v>
      </c>
      <c r="O156" s="23">
        <v>2.5</v>
      </c>
      <c r="P156" s="20">
        <v>0.65721259996297532</v>
      </c>
    </row>
    <row r="157" spans="1:16">
      <c r="A157" s="16" t="s">
        <v>176</v>
      </c>
      <c r="B157" s="16" t="s">
        <v>593</v>
      </c>
      <c r="C157" s="18" t="s">
        <v>20</v>
      </c>
      <c r="D157" s="18" t="s">
        <v>20</v>
      </c>
      <c r="E157" s="19">
        <v>17</v>
      </c>
      <c r="F157" s="20">
        <v>0.30629168282943553</v>
      </c>
      <c r="G157" s="21">
        <v>5.206958608100404</v>
      </c>
      <c r="H157" s="19">
        <v>19</v>
      </c>
      <c r="I157" s="20">
        <v>0.30691461622793409</v>
      </c>
      <c r="J157" s="21">
        <v>5.8313777083307476</v>
      </c>
      <c r="K157" s="21">
        <v>0.51200000000000012</v>
      </c>
      <c r="L157" s="21">
        <v>2.9856653866653433</v>
      </c>
      <c r="M157" s="22" t="s">
        <v>18</v>
      </c>
      <c r="N157" s="22" t="s">
        <v>18</v>
      </c>
      <c r="O157" s="23">
        <v>1</v>
      </c>
      <c r="P157" s="20">
        <v>0.89913455227957328</v>
      </c>
    </row>
    <row r="158" spans="1:16">
      <c r="A158" s="16" t="s">
        <v>177</v>
      </c>
      <c r="B158" s="16"/>
      <c r="C158" s="18"/>
      <c r="D158" s="18"/>
      <c r="E158" s="19"/>
      <c r="F158" s="20"/>
      <c r="G158" s="21"/>
      <c r="H158" s="19"/>
      <c r="I158" s="20"/>
      <c r="J158" s="21"/>
      <c r="K158" s="21"/>
      <c r="L158" s="21"/>
      <c r="M158" s="22"/>
      <c r="N158" s="22"/>
      <c r="O158" s="23" t="s">
        <v>14</v>
      </c>
      <c r="P158" s="20"/>
    </row>
    <row r="159" spans="1:16">
      <c r="A159" s="16" t="s">
        <v>178</v>
      </c>
      <c r="B159" s="16" t="s">
        <v>587</v>
      </c>
      <c r="C159" s="18" t="s">
        <v>12</v>
      </c>
      <c r="D159" s="18" t="s">
        <v>13</v>
      </c>
      <c r="E159" s="19">
        <v>7</v>
      </c>
      <c r="F159" s="20">
        <v>0.30556476742862476</v>
      </c>
      <c r="G159" s="21">
        <v>2.1389533720003735</v>
      </c>
      <c r="H159" s="19">
        <v>7</v>
      </c>
      <c r="I159" s="20">
        <v>0.30556476742862476</v>
      </c>
      <c r="J159" s="21">
        <v>2.1389533720003735</v>
      </c>
      <c r="K159" s="21">
        <v>0.51200000000000012</v>
      </c>
      <c r="L159" s="21">
        <v>1.0951441264641915</v>
      </c>
      <c r="M159" s="22" t="s">
        <v>15</v>
      </c>
      <c r="N159" s="22" t="s">
        <v>16</v>
      </c>
      <c r="O159" s="23">
        <v>1</v>
      </c>
      <c r="P159" s="20">
        <v>0.54531827687277212</v>
      </c>
    </row>
    <row r="160" spans="1:16">
      <c r="A160" s="16" t="s">
        <v>179</v>
      </c>
      <c r="B160" s="16" t="s">
        <v>588</v>
      </c>
      <c r="C160" s="18" t="s">
        <v>20</v>
      </c>
      <c r="D160" s="18" t="s">
        <v>20</v>
      </c>
      <c r="E160" s="19">
        <v>15</v>
      </c>
      <c r="F160" s="20">
        <v>0.36169425598386251</v>
      </c>
      <c r="G160" s="21">
        <v>5.4254138397579377</v>
      </c>
      <c r="H160" s="19">
        <v>17</v>
      </c>
      <c r="I160" s="20">
        <v>0.3539063345140821</v>
      </c>
      <c r="J160" s="21">
        <v>6.0164076867393961</v>
      </c>
      <c r="K160" s="21">
        <v>0.51200000000000012</v>
      </c>
      <c r="L160" s="21">
        <v>3.0804007356105716</v>
      </c>
      <c r="M160" s="22" t="s">
        <v>18</v>
      </c>
      <c r="N160" s="22" t="s">
        <v>16</v>
      </c>
      <c r="O160" s="23">
        <v>0.4</v>
      </c>
      <c r="P160" s="20">
        <v>0.98341774511518798</v>
      </c>
    </row>
    <row r="161" spans="1:16">
      <c r="A161" s="16" t="s">
        <v>180</v>
      </c>
      <c r="B161" s="16" t="s">
        <v>605</v>
      </c>
      <c r="C161" s="18" t="s">
        <v>20</v>
      </c>
      <c r="D161" s="18" t="s">
        <v>20</v>
      </c>
      <c r="E161" s="19">
        <v>9</v>
      </c>
      <c r="F161" s="20">
        <v>0.24907797307347546</v>
      </c>
      <c r="G161" s="21">
        <v>2.241701757661279</v>
      </c>
      <c r="H161" s="19">
        <v>11</v>
      </c>
      <c r="I161" s="20">
        <v>0.25751778224024879</v>
      </c>
      <c r="J161" s="21">
        <v>2.832695604642737</v>
      </c>
      <c r="K161" s="21">
        <v>0.51200000000000012</v>
      </c>
      <c r="L161" s="21">
        <v>1.4503401495770816</v>
      </c>
      <c r="M161" s="22" t="s">
        <v>18</v>
      </c>
      <c r="N161" s="22" t="s">
        <v>18</v>
      </c>
      <c r="O161" s="23">
        <v>1</v>
      </c>
      <c r="P161" s="20">
        <v>0.67778175156935117</v>
      </c>
    </row>
    <row r="162" spans="1:16">
      <c r="A162" s="16" t="s">
        <v>181</v>
      </c>
      <c r="B162" s="16" t="s">
        <v>605</v>
      </c>
      <c r="C162" s="18" t="s">
        <v>12</v>
      </c>
      <c r="D162" s="18" t="s">
        <v>13</v>
      </c>
      <c r="E162" s="19">
        <v>23</v>
      </c>
      <c r="F162" s="20">
        <v>0.28542907955283342</v>
      </c>
      <c r="G162" s="21">
        <v>6.5648688297151683</v>
      </c>
      <c r="H162" s="19">
        <v>23</v>
      </c>
      <c r="I162" s="20">
        <v>0.28542907955283342</v>
      </c>
      <c r="J162" s="21">
        <v>6.5648688297151683</v>
      </c>
      <c r="K162" s="21">
        <v>0.51200000000000012</v>
      </c>
      <c r="L162" s="21">
        <v>3.3612128408141668</v>
      </c>
      <c r="M162" s="22" t="s">
        <v>15</v>
      </c>
      <c r="N162" s="22" t="s">
        <v>18</v>
      </c>
      <c r="O162" s="23">
        <v>2.5</v>
      </c>
      <c r="P162" s="20">
        <v>0.64382901667208525</v>
      </c>
    </row>
    <row r="163" spans="1:16">
      <c r="A163" s="16" t="s">
        <v>182</v>
      </c>
      <c r="B163" s="16"/>
      <c r="C163" s="18"/>
      <c r="D163" s="18"/>
      <c r="E163" s="19"/>
      <c r="F163" s="20"/>
      <c r="G163" s="21"/>
      <c r="H163" s="19"/>
      <c r="I163" s="20"/>
      <c r="J163" s="21"/>
      <c r="K163" s="21"/>
      <c r="L163" s="21"/>
      <c r="M163" s="22"/>
      <c r="N163" s="22"/>
      <c r="O163" s="23" t="s">
        <v>14</v>
      </c>
      <c r="P163" s="20"/>
    </row>
    <row r="164" spans="1:16">
      <c r="A164" s="16" t="s">
        <v>183</v>
      </c>
      <c r="B164" s="16" t="s">
        <v>587</v>
      </c>
      <c r="C164" s="18" t="s">
        <v>12</v>
      </c>
      <c r="D164" s="18" t="s">
        <v>13</v>
      </c>
      <c r="E164" s="19">
        <v>7</v>
      </c>
      <c r="F164" s="20">
        <v>0.30556476742862476</v>
      </c>
      <c r="G164" s="21">
        <v>2.1389533720003735</v>
      </c>
      <c r="H164" s="19">
        <v>7</v>
      </c>
      <c r="I164" s="20">
        <v>0.30556476742862476</v>
      </c>
      <c r="J164" s="21">
        <v>2.1389533720003735</v>
      </c>
      <c r="K164" s="21">
        <v>0.51200000000000012</v>
      </c>
      <c r="L164" s="21">
        <v>1.0951441264641915</v>
      </c>
      <c r="M164" s="22" t="s">
        <v>15</v>
      </c>
      <c r="N164" s="22" t="s">
        <v>16</v>
      </c>
      <c r="O164" s="23">
        <v>1</v>
      </c>
      <c r="P164" s="20">
        <v>0.54531827687277212</v>
      </c>
    </row>
    <row r="165" spans="1:16">
      <c r="A165" s="16" t="s">
        <v>184</v>
      </c>
      <c r="B165" s="16" t="s">
        <v>588</v>
      </c>
      <c r="C165" s="18" t="s">
        <v>20</v>
      </c>
      <c r="D165" s="18" t="s">
        <v>20</v>
      </c>
      <c r="E165" s="19">
        <v>15</v>
      </c>
      <c r="F165" s="20">
        <v>0.36169425598386251</v>
      </c>
      <c r="G165" s="21">
        <v>5.4254138397579377</v>
      </c>
      <c r="H165" s="19">
        <v>16</v>
      </c>
      <c r="I165" s="20">
        <v>0.35818616294916017</v>
      </c>
      <c r="J165" s="21">
        <v>5.7309786071865627</v>
      </c>
      <c r="K165" s="21">
        <v>0.51200000000000012</v>
      </c>
      <c r="L165" s="21">
        <v>2.9342610468795209</v>
      </c>
      <c r="M165" s="22" t="s">
        <v>18</v>
      </c>
      <c r="N165" s="22" t="s">
        <v>16</v>
      </c>
      <c r="O165" s="23">
        <v>0.4</v>
      </c>
      <c r="P165" s="20">
        <v>0.98175575309692154</v>
      </c>
    </row>
    <row r="166" spans="1:16">
      <c r="A166" s="16" t="s">
        <v>185</v>
      </c>
      <c r="B166" s="16" t="s">
        <v>587</v>
      </c>
      <c r="C166" s="18" t="s">
        <v>20</v>
      </c>
      <c r="D166" s="18" t="s">
        <v>20</v>
      </c>
      <c r="E166" s="19"/>
      <c r="F166" s="20"/>
      <c r="G166" s="21"/>
      <c r="H166" s="19"/>
      <c r="I166" s="20"/>
      <c r="J166" s="21"/>
      <c r="K166" s="21"/>
      <c r="L166" s="21"/>
      <c r="M166" s="22"/>
      <c r="N166" s="22"/>
      <c r="O166" s="23" t="s">
        <v>14</v>
      </c>
      <c r="P166" s="20"/>
    </row>
    <row r="167" spans="1:16">
      <c r="A167" s="16" t="s">
        <v>186</v>
      </c>
      <c r="B167" s="16" t="s">
        <v>587</v>
      </c>
      <c r="C167" s="18" t="s">
        <v>20</v>
      </c>
      <c r="D167" s="18" t="s">
        <v>20</v>
      </c>
      <c r="E167" s="19">
        <v>22</v>
      </c>
      <c r="F167" s="20">
        <v>0.27635138016215538</v>
      </c>
      <c r="G167" s="21">
        <v>6.0797303635674185</v>
      </c>
      <c r="H167" s="19">
        <v>23</v>
      </c>
      <c r="I167" s="20">
        <v>0.2776215274346106</v>
      </c>
      <c r="J167" s="21">
        <v>6.3852951309960435</v>
      </c>
      <c r="K167" s="21">
        <v>0.51200000000000012</v>
      </c>
      <c r="L167" s="21">
        <v>3.2692711070699749</v>
      </c>
      <c r="M167" s="22" t="s">
        <v>22</v>
      </c>
      <c r="N167" s="22" t="s">
        <v>18</v>
      </c>
      <c r="O167" s="23">
        <v>0.5</v>
      </c>
      <c r="P167" s="20">
        <v>0.9771441811013466</v>
      </c>
    </row>
    <row r="168" spans="1:16">
      <c r="A168" s="16" t="s">
        <v>187</v>
      </c>
      <c r="B168" s="16" t="s">
        <v>587</v>
      </c>
      <c r="C168" s="18" t="s">
        <v>20</v>
      </c>
      <c r="D168" s="18" t="s">
        <v>20</v>
      </c>
      <c r="E168" s="19">
        <v>22</v>
      </c>
      <c r="F168" s="20">
        <v>0.27635138016215538</v>
      </c>
      <c r="G168" s="21">
        <v>6.0797303635674185</v>
      </c>
      <c r="H168" s="19">
        <v>23</v>
      </c>
      <c r="I168" s="20">
        <v>0.2776215274346106</v>
      </c>
      <c r="J168" s="21">
        <v>6.3852951309960435</v>
      </c>
      <c r="K168" s="21">
        <v>0.51200000000000012</v>
      </c>
      <c r="L168" s="21">
        <v>3.2692711070699749</v>
      </c>
      <c r="M168" s="22" t="s">
        <v>22</v>
      </c>
      <c r="N168" s="22" t="s">
        <v>18</v>
      </c>
      <c r="O168" s="23">
        <v>0.5</v>
      </c>
      <c r="P168" s="20">
        <v>0.9771441811013466</v>
      </c>
    </row>
    <row r="169" spans="1:16">
      <c r="A169" s="16" t="s">
        <v>188</v>
      </c>
      <c r="B169" s="16" t="s">
        <v>587</v>
      </c>
      <c r="C169" s="18" t="s">
        <v>20</v>
      </c>
      <c r="D169" s="18" t="s">
        <v>20</v>
      </c>
      <c r="E169" s="19">
        <v>22</v>
      </c>
      <c r="F169" s="20">
        <v>0.27635138016215538</v>
      </c>
      <c r="G169" s="21">
        <v>6.0797303635674185</v>
      </c>
      <c r="H169" s="19">
        <v>23</v>
      </c>
      <c r="I169" s="20">
        <v>0.2776215274346106</v>
      </c>
      <c r="J169" s="21">
        <v>6.3852951309960435</v>
      </c>
      <c r="K169" s="21">
        <v>0.51200000000000012</v>
      </c>
      <c r="L169" s="21">
        <v>3.2692711070699749</v>
      </c>
      <c r="M169" s="22" t="s">
        <v>22</v>
      </c>
      <c r="N169" s="22" t="s">
        <v>18</v>
      </c>
      <c r="O169" s="23">
        <v>0.5</v>
      </c>
      <c r="P169" s="20">
        <v>0.9771441811013466</v>
      </c>
    </row>
    <row r="170" spans="1:16">
      <c r="A170" s="16" t="s">
        <v>189</v>
      </c>
      <c r="B170" s="16" t="s">
        <v>587</v>
      </c>
      <c r="C170" s="18" t="s">
        <v>20</v>
      </c>
      <c r="D170" s="18" t="s">
        <v>20</v>
      </c>
      <c r="E170" s="19"/>
      <c r="F170" s="20"/>
      <c r="G170" s="21"/>
      <c r="H170" s="19"/>
      <c r="I170" s="20"/>
      <c r="J170" s="21"/>
      <c r="K170" s="21"/>
      <c r="L170" s="21"/>
      <c r="M170" s="22"/>
      <c r="N170" s="22"/>
      <c r="O170" s="23" t="s">
        <v>14</v>
      </c>
      <c r="P170" s="20"/>
    </row>
    <row r="171" spans="1:16">
      <c r="A171" s="16" t="s">
        <v>190</v>
      </c>
      <c r="B171" s="16" t="s">
        <v>587</v>
      </c>
      <c r="C171" s="18" t="s">
        <v>20</v>
      </c>
      <c r="D171" s="18" t="s">
        <v>20</v>
      </c>
      <c r="E171" s="19">
        <v>22</v>
      </c>
      <c r="F171" s="20">
        <v>0.27635138016215538</v>
      </c>
      <c r="G171" s="21">
        <v>6.0797303635674185</v>
      </c>
      <c r="H171" s="19">
        <v>23</v>
      </c>
      <c r="I171" s="20">
        <v>0.2776215274346106</v>
      </c>
      <c r="J171" s="21">
        <v>6.3852951309960435</v>
      </c>
      <c r="K171" s="21">
        <v>0.51200000000000012</v>
      </c>
      <c r="L171" s="21">
        <v>3.2692711070699749</v>
      </c>
      <c r="M171" s="22" t="s">
        <v>22</v>
      </c>
      <c r="N171" s="22" t="s">
        <v>18</v>
      </c>
      <c r="O171" s="23">
        <v>0.5</v>
      </c>
      <c r="P171" s="20">
        <v>0.9771441811013466</v>
      </c>
    </row>
    <row r="172" spans="1:16">
      <c r="A172" s="16" t="s">
        <v>191</v>
      </c>
      <c r="B172" s="16" t="s">
        <v>587</v>
      </c>
      <c r="C172" s="18" t="s">
        <v>20</v>
      </c>
      <c r="D172" s="18" t="s">
        <v>20</v>
      </c>
      <c r="E172" s="19">
        <v>22</v>
      </c>
      <c r="F172" s="20">
        <v>0.27635138016215538</v>
      </c>
      <c r="G172" s="21">
        <v>6.0797303635674185</v>
      </c>
      <c r="H172" s="19">
        <v>23</v>
      </c>
      <c r="I172" s="20">
        <v>0.2776215274346106</v>
      </c>
      <c r="J172" s="21">
        <v>6.3852951309960435</v>
      </c>
      <c r="K172" s="21">
        <v>0.51200000000000012</v>
      </c>
      <c r="L172" s="21">
        <v>3.2692711070699749</v>
      </c>
      <c r="M172" s="22" t="s">
        <v>22</v>
      </c>
      <c r="N172" s="22" t="s">
        <v>18</v>
      </c>
      <c r="O172" s="23">
        <v>0.5</v>
      </c>
      <c r="P172" s="20">
        <v>0.9771441811013466</v>
      </c>
    </row>
    <row r="173" spans="1:16">
      <c r="A173" s="16" t="s">
        <v>192</v>
      </c>
      <c r="B173" s="16" t="s">
        <v>587</v>
      </c>
      <c r="C173" s="18" t="s">
        <v>20</v>
      </c>
      <c r="D173" s="18" t="s">
        <v>20</v>
      </c>
      <c r="E173" s="19">
        <v>22</v>
      </c>
      <c r="F173" s="20">
        <v>0.27635138016215538</v>
      </c>
      <c r="G173" s="21">
        <v>6.0797303635674185</v>
      </c>
      <c r="H173" s="19">
        <v>23</v>
      </c>
      <c r="I173" s="20">
        <v>0.2776215274346106</v>
      </c>
      <c r="J173" s="21">
        <v>6.3852951309960435</v>
      </c>
      <c r="K173" s="21">
        <v>0.51200000000000012</v>
      </c>
      <c r="L173" s="21">
        <v>3.2692711070699749</v>
      </c>
      <c r="M173" s="22" t="s">
        <v>22</v>
      </c>
      <c r="N173" s="22" t="s">
        <v>18</v>
      </c>
      <c r="O173" s="23">
        <v>0.5</v>
      </c>
      <c r="P173" s="20">
        <v>0.9771441811013466</v>
      </c>
    </row>
    <row r="174" spans="1:16">
      <c r="A174" s="16" t="s">
        <v>193</v>
      </c>
      <c r="B174" s="16" t="s">
        <v>587</v>
      </c>
      <c r="C174" s="18" t="s">
        <v>20</v>
      </c>
      <c r="D174" s="18" t="s">
        <v>20</v>
      </c>
      <c r="E174" s="19">
        <v>22</v>
      </c>
      <c r="F174" s="20">
        <v>0.27635138016215538</v>
      </c>
      <c r="G174" s="21">
        <v>6.0797303635674185</v>
      </c>
      <c r="H174" s="19">
        <v>23</v>
      </c>
      <c r="I174" s="20">
        <v>0.2776215274346106</v>
      </c>
      <c r="J174" s="21">
        <v>6.3852951309960435</v>
      </c>
      <c r="K174" s="21">
        <v>0.51200000000000012</v>
      </c>
      <c r="L174" s="21">
        <v>3.2692711070699749</v>
      </c>
      <c r="M174" s="22" t="s">
        <v>22</v>
      </c>
      <c r="N174" s="22" t="s">
        <v>18</v>
      </c>
      <c r="O174" s="23">
        <v>0.5</v>
      </c>
      <c r="P174" s="20">
        <v>0.9771441811013466</v>
      </c>
    </row>
    <row r="175" spans="1:16">
      <c r="A175" s="16" t="s">
        <v>194</v>
      </c>
      <c r="B175" s="16" t="s">
        <v>587</v>
      </c>
      <c r="C175" s="18" t="s">
        <v>20</v>
      </c>
      <c r="D175" s="18" t="s">
        <v>20</v>
      </c>
      <c r="E175" s="19"/>
      <c r="F175" s="20"/>
      <c r="G175" s="21"/>
      <c r="H175" s="19"/>
      <c r="I175" s="20"/>
      <c r="J175" s="21"/>
      <c r="K175" s="21"/>
      <c r="L175" s="21"/>
      <c r="M175" s="22"/>
      <c r="N175" s="22"/>
      <c r="O175" s="23" t="s">
        <v>14</v>
      </c>
      <c r="P175" s="20"/>
    </row>
    <row r="176" spans="1:16">
      <c r="A176" s="16" t="s">
        <v>195</v>
      </c>
      <c r="B176" s="16" t="s">
        <v>587</v>
      </c>
      <c r="C176" s="18" t="s">
        <v>20</v>
      </c>
      <c r="D176" s="18" t="s">
        <v>20</v>
      </c>
      <c r="E176" s="19">
        <v>22</v>
      </c>
      <c r="F176" s="20">
        <v>0.27635138016215538</v>
      </c>
      <c r="G176" s="21">
        <v>6.0797303635674185</v>
      </c>
      <c r="H176" s="19">
        <v>23</v>
      </c>
      <c r="I176" s="20">
        <v>0.2776215274346106</v>
      </c>
      <c r="J176" s="21">
        <v>6.3852951309960435</v>
      </c>
      <c r="K176" s="21">
        <v>0.51200000000000012</v>
      </c>
      <c r="L176" s="21">
        <v>3.2692711070699749</v>
      </c>
      <c r="M176" s="22" t="s">
        <v>22</v>
      </c>
      <c r="N176" s="22" t="s">
        <v>18</v>
      </c>
      <c r="O176" s="23">
        <v>0.5</v>
      </c>
      <c r="P176" s="20">
        <v>0.9771441811013466</v>
      </c>
    </row>
    <row r="177" spans="1:16">
      <c r="A177" s="16" t="s">
        <v>196</v>
      </c>
      <c r="B177" s="16" t="s">
        <v>587</v>
      </c>
      <c r="C177" s="18" t="s">
        <v>20</v>
      </c>
      <c r="D177" s="18" t="s">
        <v>20</v>
      </c>
      <c r="E177" s="19">
        <v>22</v>
      </c>
      <c r="F177" s="20">
        <v>0.27635138016215538</v>
      </c>
      <c r="G177" s="21">
        <v>6.0797303635674185</v>
      </c>
      <c r="H177" s="19">
        <v>23</v>
      </c>
      <c r="I177" s="20">
        <v>0.2776215274346106</v>
      </c>
      <c r="J177" s="21">
        <v>6.3852951309960435</v>
      </c>
      <c r="K177" s="21">
        <v>0.51200000000000012</v>
      </c>
      <c r="L177" s="21">
        <v>3.2692711070699749</v>
      </c>
      <c r="M177" s="22" t="s">
        <v>22</v>
      </c>
      <c r="N177" s="22" t="s">
        <v>18</v>
      </c>
      <c r="O177" s="23">
        <v>0.5</v>
      </c>
      <c r="P177" s="20">
        <v>0.9771441811013466</v>
      </c>
    </row>
    <row r="178" spans="1:16">
      <c r="A178" s="16" t="s">
        <v>197</v>
      </c>
      <c r="B178" s="16" t="s">
        <v>587</v>
      </c>
      <c r="C178" s="18" t="s">
        <v>20</v>
      </c>
      <c r="D178" s="18" t="s">
        <v>20</v>
      </c>
      <c r="E178" s="19">
        <v>22</v>
      </c>
      <c r="F178" s="20">
        <v>0.27635138016215538</v>
      </c>
      <c r="G178" s="21">
        <v>6.0797303635674185</v>
      </c>
      <c r="H178" s="19">
        <v>23</v>
      </c>
      <c r="I178" s="20">
        <v>0.2776215274346106</v>
      </c>
      <c r="J178" s="21">
        <v>6.3852951309960435</v>
      </c>
      <c r="K178" s="21">
        <v>0.51200000000000012</v>
      </c>
      <c r="L178" s="21">
        <v>3.2692711070699749</v>
      </c>
      <c r="M178" s="22" t="s">
        <v>22</v>
      </c>
      <c r="N178" s="22" t="s">
        <v>18</v>
      </c>
      <c r="O178" s="23">
        <v>0.5</v>
      </c>
      <c r="P178" s="20">
        <v>0.9771441811013466</v>
      </c>
    </row>
    <row r="179" spans="1:16">
      <c r="A179" s="16" t="s">
        <v>198</v>
      </c>
      <c r="B179" s="16" t="s">
        <v>592</v>
      </c>
      <c r="C179" s="18" t="s">
        <v>20</v>
      </c>
      <c r="D179" s="18" t="s">
        <v>20</v>
      </c>
      <c r="E179" s="19">
        <v>20</v>
      </c>
      <c r="F179" s="20">
        <v>0.30134318224685253</v>
      </c>
      <c r="G179" s="21">
        <v>6.0268636449370501</v>
      </c>
      <c r="H179" s="19">
        <v>21</v>
      </c>
      <c r="I179" s="20">
        <v>0.3015442101126512</v>
      </c>
      <c r="J179" s="21">
        <v>6.3324284123656751</v>
      </c>
      <c r="K179" s="21">
        <v>0.51200000000000012</v>
      </c>
      <c r="L179" s="21">
        <v>3.2422033471312264</v>
      </c>
      <c r="M179" s="22" t="s">
        <v>22</v>
      </c>
      <c r="N179" s="22" t="s">
        <v>16</v>
      </c>
      <c r="O179" s="23">
        <v>0.2</v>
      </c>
      <c r="P179" s="20">
        <v>0.99620920723552031</v>
      </c>
    </row>
    <row r="180" spans="1:16">
      <c r="A180" s="16" t="s">
        <v>199</v>
      </c>
      <c r="B180" s="16" t="s">
        <v>606</v>
      </c>
      <c r="C180" s="18" t="s">
        <v>20</v>
      </c>
      <c r="D180" s="18" t="s">
        <v>20</v>
      </c>
      <c r="E180" s="19">
        <v>9</v>
      </c>
      <c r="F180" s="20">
        <v>0.33599579661640927</v>
      </c>
      <c r="G180" s="21">
        <v>3.0239621695476835</v>
      </c>
      <c r="H180" s="19">
        <v>10</v>
      </c>
      <c r="I180" s="20">
        <v>0.33295269369763081</v>
      </c>
      <c r="J180" s="21">
        <v>3.3295269369763081</v>
      </c>
      <c r="K180" s="21">
        <v>0.51200000000000012</v>
      </c>
      <c r="L180" s="21">
        <v>1.7047177917318701</v>
      </c>
      <c r="M180" s="22" t="s">
        <v>15</v>
      </c>
      <c r="N180" s="22" t="s">
        <v>16</v>
      </c>
      <c r="O180" s="23">
        <v>1</v>
      </c>
      <c r="P180" s="20">
        <v>0.74398772775948674</v>
      </c>
    </row>
    <row r="181" spans="1:16">
      <c r="A181" s="16" t="s">
        <v>200</v>
      </c>
      <c r="B181" s="16"/>
      <c r="C181" s="18"/>
      <c r="D181" s="18"/>
      <c r="E181" s="19"/>
      <c r="F181" s="20"/>
      <c r="G181" s="21"/>
      <c r="H181" s="19"/>
      <c r="I181" s="20"/>
      <c r="J181" s="21"/>
      <c r="K181" s="21"/>
      <c r="L181" s="21"/>
      <c r="M181" s="22"/>
      <c r="N181" s="22"/>
      <c r="O181" s="23" t="s">
        <v>14</v>
      </c>
      <c r="P181" s="20"/>
    </row>
    <row r="182" spans="1:16">
      <c r="A182" s="16" t="s">
        <v>201</v>
      </c>
      <c r="B182" s="16" t="s">
        <v>587</v>
      </c>
      <c r="C182" s="18" t="s">
        <v>12</v>
      </c>
      <c r="D182" s="18" t="s">
        <v>13</v>
      </c>
      <c r="E182" s="19">
        <v>7</v>
      </c>
      <c r="F182" s="20">
        <v>0.30556476742862476</v>
      </c>
      <c r="G182" s="21">
        <v>2.1389533720003735</v>
      </c>
      <c r="H182" s="19">
        <v>7</v>
      </c>
      <c r="I182" s="20">
        <v>0.30556476742862476</v>
      </c>
      <c r="J182" s="21">
        <v>2.1389533720003735</v>
      </c>
      <c r="K182" s="21">
        <v>0.51200000000000012</v>
      </c>
      <c r="L182" s="21">
        <v>1.0951441264641915</v>
      </c>
      <c r="M182" s="22" t="s">
        <v>15</v>
      </c>
      <c r="N182" s="22" t="s">
        <v>16</v>
      </c>
      <c r="O182" s="23">
        <v>1</v>
      </c>
      <c r="P182" s="20">
        <v>0.54531827687277212</v>
      </c>
    </row>
    <row r="183" spans="1:16">
      <c r="A183" s="16" t="s">
        <v>202</v>
      </c>
      <c r="B183" s="16" t="s">
        <v>588</v>
      </c>
      <c r="C183" s="18" t="s">
        <v>20</v>
      </c>
      <c r="D183" s="18" t="s">
        <v>20</v>
      </c>
      <c r="E183" s="19">
        <v>15</v>
      </c>
      <c r="F183" s="20">
        <v>0.36169425598386251</v>
      </c>
      <c r="G183" s="21">
        <v>5.4254138397579377</v>
      </c>
      <c r="H183" s="19">
        <v>18</v>
      </c>
      <c r="I183" s="20">
        <v>0.33378212565287191</v>
      </c>
      <c r="J183" s="21">
        <v>6.0080782617516943</v>
      </c>
      <c r="K183" s="21">
        <v>0.51200000000000012</v>
      </c>
      <c r="L183" s="21">
        <v>3.0761360700168683</v>
      </c>
      <c r="M183" s="22" t="s">
        <v>18</v>
      </c>
      <c r="N183" s="22" t="s">
        <v>16</v>
      </c>
      <c r="O183" s="23">
        <v>0.4</v>
      </c>
      <c r="P183" s="20">
        <v>0.98337249996609355</v>
      </c>
    </row>
    <row r="184" spans="1:16">
      <c r="A184" s="16" t="s">
        <v>203</v>
      </c>
      <c r="B184" s="16" t="s">
        <v>588</v>
      </c>
      <c r="C184" s="18" t="s">
        <v>20</v>
      </c>
      <c r="D184" s="18" t="s">
        <v>20</v>
      </c>
      <c r="E184" s="19"/>
      <c r="F184" s="20"/>
      <c r="G184" s="21"/>
      <c r="H184" s="19"/>
      <c r="I184" s="20"/>
      <c r="J184" s="21"/>
      <c r="K184" s="21"/>
      <c r="L184" s="21"/>
      <c r="M184" s="22"/>
      <c r="N184" s="22"/>
      <c r="O184" s="23" t="s">
        <v>14</v>
      </c>
      <c r="P184" s="20"/>
    </row>
    <row r="185" spans="1:16">
      <c r="A185" s="16" t="s">
        <v>204</v>
      </c>
      <c r="B185" s="16" t="s">
        <v>588</v>
      </c>
      <c r="C185" s="18" t="s">
        <v>20</v>
      </c>
      <c r="D185" s="18" t="s">
        <v>20</v>
      </c>
      <c r="E185" s="19">
        <v>13</v>
      </c>
      <c r="F185" s="20">
        <v>0.35687388819939153</v>
      </c>
      <c r="G185" s="21">
        <v>4.6393605465920897</v>
      </c>
      <c r="H185" s="19">
        <v>16</v>
      </c>
      <c r="I185" s="20">
        <v>0.3263765605366154</v>
      </c>
      <c r="J185" s="21">
        <v>5.2220249685858464</v>
      </c>
      <c r="K185" s="21">
        <v>0.51200000000000012</v>
      </c>
      <c r="L185" s="21">
        <v>2.6736767839159539</v>
      </c>
      <c r="M185" s="22" t="s">
        <v>22</v>
      </c>
      <c r="N185" s="22" t="s">
        <v>18</v>
      </c>
      <c r="O185" s="23">
        <v>0.5</v>
      </c>
      <c r="P185" s="20">
        <v>0.9662095839102931</v>
      </c>
    </row>
    <row r="186" spans="1:16">
      <c r="A186" s="16" t="s">
        <v>205</v>
      </c>
      <c r="B186" s="16" t="s">
        <v>588</v>
      </c>
      <c r="C186" s="18" t="s">
        <v>20</v>
      </c>
      <c r="D186" s="18" t="s">
        <v>20</v>
      </c>
      <c r="E186" s="19">
        <v>12</v>
      </c>
      <c r="F186" s="20">
        <v>0.36043677656353251</v>
      </c>
      <c r="G186" s="21">
        <v>4.3252413187623899</v>
      </c>
      <c r="H186" s="19">
        <v>15</v>
      </c>
      <c r="I186" s="20">
        <v>0.32719371605040976</v>
      </c>
      <c r="J186" s="21">
        <v>4.9079057407561466</v>
      </c>
      <c r="K186" s="21">
        <v>0.51200000000000012</v>
      </c>
      <c r="L186" s="21">
        <v>2.5128477392671478</v>
      </c>
      <c r="M186" s="22" t="s">
        <v>22</v>
      </c>
      <c r="N186" s="22" t="s">
        <v>18</v>
      </c>
      <c r="O186" s="23">
        <v>0.5</v>
      </c>
      <c r="P186" s="20">
        <v>0.96191581000925253</v>
      </c>
    </row>
    <row r="187" spans="1:16">
      <c r="A187" s="16" t="s">
        <v>206</v>
      </c>
      <c r="B187" s="16" t="s">
        <v>604</v>
      </c>
      <c r="C187" s="18" t="s">
        <v>20</v>
      </c>
      <c r="D187" s="18" t="s">
        <v>20</v>
      </c>
      <c r="E187" s="19">
        <v>14</v>
      </c>
      <c r="F187" s="20">
        <v>0.34492729718830412</v>
      </c>
      <c r="G187" s="21">
        <v>4.828982160636258</v>
      </c>
      <c r="H187" s="19">
        <v>17</v>
      </c>
      <c r="I187" s="20">
        <v>0.31833215191941261</v>
      </c>
      <c r="J187" s="21">
        <v>5.4116465826300146</v>
      </c>
      <c r="K187" s="21">
        <v>0.51200000000000012</v>
      </c>
      <c r="L187" s="21">
        <v>2.7707630503065683</v>
      </c>
      <c r="M187" s="22" t="s">
        <v>22</v>
      </c>
      <c r="N187" s="22" t="s">
        <v>18</v>
      </c>
      <c r="O187" s="23">
        <v>0.5</v>
      </c>
      <c r="P187" s="20">
        <v>0.96846272650640985</v>
      </c>
    </row>
    <row r="188" spans="1:16">
      <c r="A188" s="16" t="s">
        <v>207</v>
      </c>
      <c r="B188" s="16" t="s">
        <v>604</v>
      </c>
      <c r="C188" s="18" t="s">
        <v>20</v>
      </c>
      <c r="D188" s="18" t="s">
        <v>20</v>
      </c>
      <c r="E188" s="19">
        <v>15</v>
      </c>
      <c r="F188" s="20">
        <v>0.32246461071546939</v>
      </c>
      <c r="G188" s="21">
        <v>4.8369691607320409</v>
      </c>
      <c r="H188" s="19">
        <v>18</v>
      </c>
      <c r="I188" s="20">
        <v>0.30109075459587764</v>
      </c>
      <c r="J188" s="21">
        <v>5.4196335827257975</v>
      </c>
      <c r="K188" s="21">
        <v>0.51200000000000012</v>
      </c>
      <c r="L188" s="21">
        <v>2.7748523943556092</v>
      </c>
      <c r="M188" s="22" t="s">
        <v>22</v>
      </c>
      <c r="N188" s="22" t="s">
        <v>18</v>
      </c>
      <c r="O188" s="23">
        <v>0.5</v>
      </c>
      <c r="P188" s="20">
        <v>0.96855269097629682</v>
      </c>
    </row>
    <row r="189" spans="1:16">
      <c r="A189" s="16" t="s">
        <v>208</v>
      </c>
      <c r="B189" s="16" t="s">
        <v>593</v>
      </c>
      <c r="C189" s="18" t="s">
        <v>20</v>
      </c>
      <c r="D189" s="18" t="s">
        <v>20</v>
      </c>
      <c r="E189" s="19"/>
      <c r="F189" s="20"/>
      <c r="G189" s="21"/>
      <c r="H189" s="19"/>
      <c r="I189" s="20"/>
      <c r="J189" s="21"/>
      <c r="K189" s="21"/>
      <c r="L189" s="21"/>
      <c r="M189" s="22"/>
      <c r="N189" s="22"/>
      <c r="O189" s="23" t="s">
        <v>14</v>
      </c>
      <c r="P189" s="20"/>
    </row>
    <row r="190" spans="1:16">
      <c r="A190" s="16" t="s">
        <v>209</v>
      </c>
      <c r="B190" s="16" t="s">
        <v>588</v>
      </c>
      <c r="C190" s="18" t="s">
        <v>20</v>
      </c>
      <c r="D190" s="18" t="s">
        <v>20</v>
      </c>
      <c r="E190" s="19">
        <v>13</v>
      </c>
      <c r="F190" s="20">
        <v>0.31466031581186005</v>
      </c>
      <c r="G190" s="21">
        <v>4.0905841055541803</v>
      </c>
      <c r="H190" s="19">
        <v>16</v>
      </c>
      <c r="I190" s="20">
        <v>0.29207803297174606</v>
      </c>
      <c r="J190" s="21">
        <v>4.673248527547937</v>
      </c>
      <c r="K190" s="21">
        <v>0.51200000000000012</v>
      </c>
      <c r="L190" s="21">
        <v>2.3927032461045443</v>
      </c>
      <c r="M190" s="22" t="s">
        <v>18</v>
      </c>
      <c r="N190" s="22" t="s">
        <v>18</v>
      </c>
      <c r="O190" s="23">
        <v>1</v>
      </c>
      <c r="P190" s="20">
        <v>0.85130175257491036</v>
      </c>
    </row>
    <row r="191" spans="1:16">
      <c r="A191" s="16" t="s">
        <v>210</v>
      </c>
      <c r="B191" s="16" t="s">
        <v>588</v>
      </c>
      <c r="C191" s="18" t="s">
        <v>20</v>
      </c>
      <c r="D191" s="18" t="s">
        <v>20</v>
      </c>
      <c r="E191" s="19">
        <v>15</v>
      </c>
      <c r="F191" s="20">
        <v>0.30753290901236013</v>
      </c>
      <c r="G191" s="21">
        <v>4.6129936351854024</v>
      </c>
      <c r="H191" s="19">
        <v>18</v>
      </c>
      <c r="I191" s="20">
        <v>0.2886476698432866</v>
      </c>
      <c r="J191" s="21">
        <v>5.1956580571791591</v>
      </c>
      <c r="K191" s="21">
        <v>0.51200000000000012</v>
      </c>
      <c r="L191" s="21">
        <v>2.6601769252757301</v>
      </c>
      <c r="M191" s="22" t="s">
        <v>15</v>
      </c>
      <c r="N191" s="22" t="s">
        <v>18</v>
      </c>
      <c r="O191" s="23">
        <v>2.5</v>
      </c>
      <c r="P191" s="20">
        <v>0.53101109495666043</v>
      </c>
    </row>
    <row r="192" spans="1:16">
      <c r="A192" s="16" t="s">
        <v>211</v>
      </c>
      <c r="B192" s="16" t="s">
        <v>592</v>
      </c>
      <c r="C192" s="18" t="s">
        <v>12</v>
      </c>
      <c r="D192" s="18" t="s">
        <v>13</v>
      </c>
      <c r="E192" s="19"/>
      <c r="F192" s="20"/>
      <c r="G192" s="21"/>
      <c r="H192" s="19"/>
      <c r="I192" s="20"/>
      <c r="J192" s="21"/>
      <c r="K192" s="21"/>
      <c r="L192" s="21"/>
      <c r="M192" s="22"/>
      <c r="N192" s="22"/>
      <c r="O192" s="23" t="s">
        <v>14</v>
      </c>
      <c r="P192" s="20"/>
    </row>
    <row r="193" spans="1:16">
      <c r="A193" s="16" t="s">
        <v>212</v>
      </c>
      <c r="B193" s="16" t="s">
        <v>587</v>
      </c>
      <c r="C193" s="18" t="s">
        <v>20</v>
      </c>
      <c r="D193" s="18" t="s">
        <v>27</v>
      </c>
      <c r="E193" s="19">
        <v>9</v>
      </c>
      <c r="F193" s="20">
        <v>0.2958922513502974</v>
      </c>
      <c r="G193" s="21">
        <v>2.6630302621526765</v>
      </c>
      <c r="H193" s="19">
        <v>13</v>
      </c>
      <c r="I193" s="20">
        <v>0.27242976426897925</v>
      </c>
      <c r="J193" s="21">
        <v>3.5415869354967304</v>
      </c>
      <c r="K193" s="21">
        <v>0.51200000000000012</v>
      </c>
      <c r="L193" s="21">
        <v>1.8132925109743263</v>
      </c>
      <c r="M193" s="22" t="s">
        <v>18</v>
      </c>
      <c r="N193" s="22" t="s">
        <v>18</v>
      </c>
      <c r="O193" s="23">
        <v>1</v>
      </c>
      <c r="P193" s="20">
        <v>0.76679266169241866</v>
      </c>
    </row>
    <row r="194" spans="1:16">
      <c r="A194" s="16" t="s">
        <v>213</v>
      </c>
      <c r="B194" s="16" t="s">
        <v>607</v>
      </c>
      <c r="C194" s="18" t="s">
        <v>12</v>
      </c>
      <c r="D194" s="18" t="s">
        <v>13</v>
      </c>
      <c r="E194" s="19">
        <v>11</v>
      </c>
      <c r="F194" s="20">
        <v>0.27709965456513197</v>
      </c>
      <c r="G194" s="21">
        <v>3.0480962002164516</v>
      </c>
      <c r="H194" s="19">
        <v>11</v>
      </c>
      <c r="I194" s="20">
        <v>0.27709965456513197</v>
      </c>
      <c r="J194" s="21">
        <v>3.0480962002164516</v>
      </c>
      <c r="K194" s="21">
        <v>0.51200000000000012</v>
      </c>
      <c r="L194" s="21">
        <v>1.5606252545108237</v>
      </c>
      <c r="M194" s="22" t="s">
        <v>15</v>
      </c>
      <c r="N194" s="22" t="s">
        <v>18</v>
      </c>
      <c r="O194" s="23">
        <v>2.5</v>
      </c>
      <c r="P194" s="20">
        <v>0.28041411916591147</v>
      </c>
    </row>
    <row r="195" spans="1:16">
      <c r="A195" s="16" t="s">
        <v>214</v>
      </c>
      <c r="B195" s="16" t="s">
        <v>598</v>
      </c>
      <c r="C195" s="18" t="s">
        <v>20</v>
      </c>
      <c r="D195" s="18" t="s">
        <v>20</v>
      </c>
      <c r="E195" s="19"/>
      <c r="F195" s="20"/>
      <c r="G195" s="21"/>
      <c r="H195" s="19"/>
      <c r="I195" s="20"/>
      <c r="J195" s="21"/>
      <c r="K195" s="21"/>
      <c r="L195" s="21"/>
      <c r="M195" s="22"/>
      <c r="N195" s="22"/>
      <c r="O195" s="23" t="s">
        <v>14</v>
      </c>
      <c r="P195" s="20"/>
    </row>
    <row r="196" spans="1:16">
      <c r="A196" s="16" t="s">
        <v>215</v>
      </c>
      <c r="B196" s="16" t="s">
        <v>597</v>
      </c>
      <c r="C196" s="18" t="s">
        <v>20</v>
      </c>
      <c r="D196" s="18" t="s">
        <v>20</v>
      </c>
      <c r="E196" s="19">
        <v>6</v>
      </c>
      <c r="F196" s="20">
        <v>0.33558120833334831</v>
      </c>
      <c r="G196" s="21">
        <v>2.01348725000009</v>
      </c>
      <c r="H196" s="19">
        <v>9</v>
      </c>
      <c r="I196" s="20">
        <v>0.28846129688820521</v>
      </c>
      <c r="J196" s="21">
        <v>2.5961516719938471</v>
      </c>
      <c r="K196" s="21">
        <v>0.51200000000000012</v>
      </c>
      <c r="L196" s="21">
        <v>1.3292296560608501</v>
      </c>
      <c r="M196" s="22" t="s">
        <v>22</v>
      </c>
      <c r="N196" s="22" t="s">
        <v>16</v>
      </c>
      <c r="O196" s="23">
        <v>0.2</v>
      </c>
      <c r="P196" s="20">
        <v>0.97786204318682368</v>
      </c>
    </row>
    <row r="197" spans="1:16">
      <c r="A197" s="16" t="s">
        <v>216</v>
      </c>
      <c r="B197" s="16" t="s">
        <v>588</v>
      </c>
      <c r="C197" s="18" t="s">
        <v>20</v>
      </c>
      <c r="D197" s="18" t="s">
        <v>20</v>
      </c>
      <c r="E197" s="19">
        <v>6</v>
      </c>
      <c r="F197" s="20">
        <v>0.31597248211096129</v>
      </c>
      <c r="G197" s="21">
        <v>1.8958348926657678</v>
      </c>
      <c r="H197" s="19">
        <v>9</v>
      </c>
      <c r="I197" s="20">
        <v>0.27538881273994714</v>
      </c>
      <c r="J197" s="21">
        <v>2.4784993146595244</v>
      </c>
      <c r="K197" s="21">
        <v>0.51200000000000012</v>
      </c>
      <c r="L197" s="21">
        <v>1.2689916491056767</v>
      </c>
      <c r="M197" s="22" t="s">
        <v>22</v>
      </c>
      <c r="N197" s="22" t="s">
        <v>16</v>
      </c>
      <c r="O197" s="23">
        <v>0.2</v>
      </c>
      <c r="P197" s="20">
        <v>0.9757625672805712</v>
      </c>
    </row>
    <row r="198" spans="1:16">
      <c r="A198" s="16" t="s">
        <v>217</v>
      </c>
      <c r="B198" s="16" t="s">
        <v>587</v>
      </c>
      <c r="C198" s="18" t="s">
        <v>20</v>
      </c>
      <c r="D198" s="18" t="s">
        <v>20</v>
      </c>
      <c r="E198" s="19">
        <v>6</v>
      </c>
      <c r="F198" s="20">
        <v>0.31787802710208962</v>
      </c>
      <c r="G198" s="21">
        <v>1.9072681626125378</v>
      </c>
      <c r="H198" s="19">
        <v>9</v>
      </c>
      <c r="I198" s="20">
        <v>0.27665917606736606</v>
      </c>
      <c r="J198" s="21">
        <v>2.4899325846062945</v>
      </c>
      <c r="K198" s="21">
        <v>0.51200000000000012</v>
      </c>
      <c r="L198" s="21">
        <v>1.2748454833184231</v>
      </c>
      <c r="M198" s="22" t="s">
        <v>22</v>
      </c>
      <c r="N198" s="22" t="s">
        <v>16</v>
      </c>
      <c r="O198" s="23">
        <v>0.2</v>
      </c>
      <c r="P198" s="20">
        <v>0.97597930866782345</v>
      </c>
    </row>
    <row r="199" spans="1:16">
      <c r="A199" s="16" t="s">
        <v>218</v>
      </c>
      <c r="B199" s="16" t="s">
        <v>607</v>
      </c>
      <c r="C199" s="18" t="s">
        <v>20</v>
      </c>
      <c r="D199" s="18" t="s">
        <v>20</v>
      </c>
      <c r="E199" s="19">
        <v>14</v>
      </c>
      <c r="F199" s="20">
        <v>0.32085719749527575</v>
      </c>
      <c r="G199" s="21">
        <v>4.4920007649338602</v>
      </c>
      <c r="H199" s="19">
        <v>17</v>
      </c>
      <c r="I199" s="20">
        <v>0.29850971687809513</v>
      </c>
      <c r="J199" s="21">
        <v>5.0746651869276169</v>
      </c>
      <c r="K199" s="21">
        <v>0.51200000000000012</v>
      </c>
      <c r="L199" s="21">
        <v>2.5982285757069405</v>
      </c>
      <c r="M199" s="22" t="s">
        <v>18</v>
      </c>
      <c r="N199" s="22" t="s">
        <v>18</v>
      </c>
      <c r="O199" s="23">
        <v>1</v>
      </c>
      <c r="P199" s="20">
        <v>0.87098092238494784</v>
      </c>
    </row>
    <row r="200" spans="1:16">
      <c r="A200" s="16" t="s">
        <v>219</v>
      </c>
      <c r="B200" s="16" t="s">
        <v>587</v>
      </c>
      <c r="C200" s="18" t="s">
        <v>20</v>
      </c>
      <c r="D200" s="18" t="s">
        <v>20</v>
      </c>
      <c r="E200" s="19">
        <v>23</v>
      </c>
      <c r="F200" s="20">
        <v>0.29786403233100639</v>
      </c>
      <c r="G200" s="21">
        <v>6.8508727436131469</v>
      </c>
      <c r="H200" s="19">
        <v>26</v>
      </c>
      <c r="I200" s="20">
        <v>0.28590527560026552</v>
      </c>
      <c r="J200" s="21">
        <v>7.4335371656069036</v>
      </c>
      <c r="K200" s="21">
        <v>0.51200000000000012</v>
      </c>
      <c r="L200" s="21">
        <v>3.8059710287907356</v>
      </c>
      <c r="M200" s="22" t="s">
        <v>22</v>
      </c>
      <c r="N200" s="22" t="s">
        <v>16</v>
      </c>
      <c r="O200" s="23">
        <v>0.2</v>
      </c>
      <c r="P200" s="20">
        <v>0.99724620613591941</v>
      </c>
    </row>
    <row r="201" spans="1:16">
      <c r="A201" s="16" t="s">
        <v>220</v>
      </c>
      <c r="B201" s="16"/>
      <c r="C201" s="18"/>
      <c r="D201" s="18"/>
      <c r="E201" s="19"/>
      <c r="F201" s="20"/>
      <c r="G201" s="21"/>
      <c r="H201" s="19"/>
      <c r="I201" s="20"/>
      <c r="J201" s="21"/>
      <c r="K201" s="21"/>
      <c r="L201" s="21"/>
      <c r="M201" s="22"/>
      <c r="N201" s="22"/>
      <c r="O201" s="23" t="s">
        <v>14</v>
      </c>
      <c r="P201" s="20"/>
    </row>
    <row r="202" spans="1:16">
      <c r="A202" s="16" t="s">
        <v>221</v>
      </c>
      <c r="B202" s="16" t="s">
        <v>587</v>
      </c>
      <c r="C202" s="18" t="s">
        <v>12</v>
      </c>
      <c r="D202" s="18" t="s">
        <v>13</v>
      </c>
      <c r="E202" s="19">
        <v>7</v>
      </c>
      <c r="F202" s="20">
        <v>0.30556476742862476</v>
      </c>
      <c r="G202" s="21">
        <v>2.1389533720003735</v>
      </c>
      <c r="H202" s="19">
        <v>7</v>
      </c>
      <c r="I202" s="20">
        <v>0.30556476742862476</v>
      </c>
      <c r="J202" s="21">
        <v>2.1389533720003735</v>
      </c>
      <c r="K202" s="21">
        <v>0.51200000000000012</v>
      </c>
      <c r="L202" s="21">
        <v>1.0951441264641915</v>
      </c>
      <c r="M202" s="22" t="s">
        <v>15</v>
      </c>
      <c r="N202" s="22" t="s">
        <v>16</v>
      </c>
      <c r="O202" s="23">
        <v>1</v>
      </c>
      <c r="P202" s="20">
        <v>0.54531827687277212</v>
      </c>
    </row>
    <row r="203" spans="1:16">
      <c r="A203" s="16" t="s">
        <v>222</v>
      </c>
      <c r="B203" s="16" t="s">
        <v>588</v>
      </c>
      <c r="C203" s="18" t="s">
        <v>20</v>
      </c>
      <c r="D203" s="18" t="s">
        <v>20</v>
      </c>
      <c r="E203" s="19">
        <v>15</v>
      </c>
      <c r="F203" s="20">
        <v>0.36169425598386251</v>
      </c>
      <c r="G203" s="21">
        <v>5.4254138397579377</v>
      </c>
      <c r="H203" s="19">
        <v>17</v>
      </c>
      <c r="I203" s="20">
        <v>0.33711638865803312</v>
      </c>
      <c r="J203" s="21">
        <v>5.7309786071865627</v>
      </c>
      <c r="K203" s="21">
        <v>0.51200000000000012</v>
      </c>
      <c r="L203" s="21">
        <v>2.9342610468795209</v>
      </c>
      <c r="M203" s="22" t="s">
        <v>18</v>
      </c>
      <c r="N203" s="22" t="s">
        <v>16</v>
      </c>
      <c r="O203" s="23">
        <v>0.4</v>
      </c>
      <c r="P203" s="20">
        <v>0.98175575309692154</v>
      </c>
    </row>
    <row r="204" spans="1:16">
      <c r="A204" s="16" t="s">
        <v>223</v>
      </c>
      <c r="B204" s="16" t="s">
        <v>587</v>
      </c>
      <c r="C204" s="18" t="s">
        <v>12</v>
      </c>
      <c r="D204" s="18" t="s">
        <v>13</v>
      </c>
      <c r="E204" s="19"/>
      <c r="F204" s="20"/>
      <c r="G204" s="21"/>
      <c r="H204" s="19"/>
      <c r="I204" s="20"/>
      <c r="J204" s="21"/>
      <c r="K204" s="21"/>
      <c r="L204" s="21"/>
      <c r="M204" s="22"/>
      <c r="N204" s="22"/>
      <c r="O204" s="23" t="s">
        <v>14</v>
      </c>
      <c r="P204" s="20"/>
    </row>
    <row r="205" spans="1:16">
      <c r="A205" s="16" t="s">
        <v>224</v>
      </c>
      <c r="B205" s="16" t="s">
        <v>592</v>
      </c>
      <c r="C205" s="18" t="s">
        <v>20</v>
      </c>
      <c r="D205" s="18" t="s">
        <v>27</v>
      </c>
      <c r="E205" s="19">
        <v>18</v>
      </c>
      <c r="F205" s="20">
        <v>0.29193558035847472</v>
      </c>
      <c r="G205" s="21">
        <v>5.2548404464525449</v>
      </c>
      <c r="H205" s="19">
        <v>24</v>
      </c>
      <c r="I205" s="20">
        <v>0.27908433304000407</v>
      </c>
      <c r="J205" s="21">
        <v>6.6980239929600973</v>
      </c>
      <c r="K205" s="21">
        <v>0.51200000000000012</v>
      </c>
      <c r="L205" s="21">
        <v>3.4293882843955705</v>
      </c>
      <c r="M205" s="22" t="s">
        <v>18</v>
      </c>
      <c r="N205" s="22" t="s">
        <v>18</v>
      </c>
      <c r="O205" s="23">
        <v>1</v>
      </c>
      <c r="P205" s="20">
        <v>0.92163441769384757</v>
      </c>
    </row>
    <row r="206" spans="1:16">
      <c r="A206" s="16" t="s">
        <v>225</v>
      </c>
      <c r="B206" s="16" t="s">
        <v>592</v>
      </c>
      <c r="C206" s="18" t="s">
        <v>20</v>
      </c>
      <c r="D206" s="18" t="s">
        <v>27</v>
      </c>
      <c r="E206" s="19">
        <v>17</v>
      </c>
      <c r="F206" s="20">
        <v>0.2822341769354571</v>
      </c>
      <c r="G206" s="21">
        <v>4.7979810079027709</v>
      </c>
      <c r="H206" s="19">
        <v>23</v>
      </c>
      <c r="I206" s="20">
        <v>0.27135498062653579</v>
      </c>
      <c r="J206" s="21">
        <v>6.2411645544103234</v>
      </c>
      <c r="K206" s="21">
        <v>0.51200000000000012</v>
      </c>
      <c r="L206" s="21">
        <v>3.1954762518580861</v>
      </c>
      <c r="M206" s="22" t="s">
        <v>18</v>
      </c>
      <c r="N206" s="22" t="s">
        <v>18</v>
      </c>
      <c r="O206" s="23">
        <v>1</v>
      </c>
      <c r="P206" s="20">
        <v>0.91080243581386711</v>
      </c>
    </row>
    <row r="207" spans="1:16">
      <c r="A207" s="16" t="s">
        <v>226</v>
      </c>
      <c r="B207" s="16" t="s">
        <v>587</v>
      </c>
      <c r="C207" s="18" t="s">
        <v>12</v>
      </c>
      <c r="D207" s="18" t="s">
        <v>27</v>
      </c>
      <c r="E207" s="19">
        <v>18</v>
      </c>
      <c r="F207" s="20">
        <v>0.2700517462895069</v>
      </c>
      <c r="G207" s="21">
        <v>4.8609314332111246</v>
      </c>
      <c r="H207" s="19">
        <v>18</v>
      </c>
      <c r="I207" s="20">
        <v>0.2700517462895069</v>
      </c>
      <c r="J207" s="21">
        <v>4.8609314332111246</v>
      </c>
      <c r="K207" s="21">
        <v>0.51200000000000012</v>
      </c>
      <c r="L207" s="21">
        <v>2.4887968938040963</v>
      </c>
      <c r="M207" s="22" t="s">
        <v>18</v>
      </c>
      <c r="N207" s="22" t="s">
        <v>18</v>
      </c>
      <c r="O207" s="23">
        <v>1</v>
      </c>
      <c r="P207" s="20">
        <v>0.86099739884802762</v>
      </c>
    </row>
    <row r="208" spans="1:16">
      <c r="A208" s="16" t="s">
        <v>227</v>
      </c>
      <c r="B208" s="16" t="s">
        <v>597</v>
      </c>
      <c r="C208" s="18" t="s">
        <v>20</v>
      </c>
      <c r="D208" s="18" t="s">
        <v>27</v>
      </c>
      <c r="E208" s="19">
        <v>8</v>
      </c>
      <c r="F208" s="20">
        <v>0.2933972754954885</v>
      </c>
      <c r="G208" s="21">
        <v>2.347178203963908</v>
      </c>
      <c r="H208" s="19">
        <v>14</v>
      </c>
      <c r="I208" s="20">
        <v>0.27074012503367567</v>
      </c>
      <c r="J208" s="21">
        <v>3.7903617504714595</v>
      </c>
      <c r="K208" s="21">
        <v>0.51200000000000012</v>
      </c>
      <c r="L208" s="21">
        <v>1.9406652162413878</v>
      </c>
      <c r="M208" s="22" t="s">
        <v>22</v>
      </c>
      <c r="N208" s="22" t="s">
        <v>16</v>
      </c>
      <c r="O208" s="23">
        <v>0.2</v>
      </c>
      <c r="P208" s="20">
        <v>0.98949077961886123</v>
      </c>
    </row>
    <row r="209" spans="1:16">
      <c r="A209" s="16" t="s">
        <v>228</v>
      </c>
      <c r="B209" s="16" t="s">
        <v>587</v>
      </c>
      <c r="C209" s="18" t="s">
        <v>20</v>
      </c>
      <c r="D209" s="18" t="s">
        <v>20</v>
      </c>
      <c r="E209" s="19"/>
      <c r="F209" s="20"/>
      <c r="G209" s="21"/>
      <c r="H209" s="19"/>
      <c r="I209" s="20"/>
      <c r="J209" s="21"/>
      <c r="K209" s="21"/>
      <c r="L209" s="21"/>
      <c r="M209" s="22"/>
      <c r="N209" s="22"/>
      <c r="O209" s="23" t="s">
        <v>14</v>
      </c>
      <c r="P209" s="20"/>
    </row>
    <row r="210" spans="1:16">
      <c r="A210" s="16" t="s">
        <v>229</v>
      </c>
      <c r="B210" s="16" t="s">
        <v>594</v>
      </c>
      <c r="C210" s="18" t="s">
        <v>20</v>
      </c>
      <c r="D210" s="18" t="s">
        <v>20</v>
      </c>
      <c r="E210" s="19">
        <v>9</v>
      </c>
      <c r="F210" s="20">
        <v>0.23729010536260522</v>
      </c>
      <c r="G210" s="21">
        <v>2.1356109482634471</v>
      </c>
      <c r="H210" s="19">
        <v>11</v>
      </c>
      <c r="I210" s="20">
        <v>0.22192506506291562</v>
      </c>
      <c r="J210" s="21">
        <v>2.4411757156920717</v>
      </c>
      <c r="K210" s="21">
        <v>0.51200000000000012</v>
      </c>
      <c r="L210" s="21">
        <v>1.249881966434341</v>
      </c>
      <c r="M210" s="22" t="s">
        <v>22</v>
      </c>
      <c r="N210" s="22" t="s">
        <v>18</v>
      </c>
      <c r="O210" s="23">
        <v>0.5</v>
      </c>
      <c r="P210" s="20">
        <v>0.86204650707050667</v>
      </c>
    </row>
    <row r="211" spans="1:16">
      <c r="A211" s="16" t="s">
        <v>230</v>
      </c>
      <c r="B211" s="16" t="s">
        <v>591</v>
      </c>
      <c r="C211" s="18" t="s">
        <v>20</v>
      </c>
      <c r="D211" s="18" t="s">
        <v>20</v>
      </c>
      <c r="E211" s="19">
        <v>10</v>
      </c>
      <c r="F211" s="20">
        <v>0.29230218096380672</v>
      </c>
      <c r="G211" s="21">
        <v>2.9230218096380671</v>
      </c>
      <c r="H211" s="19">
        <v>12</v>
      </c>
      <c r="I211" s="20">
        <v>0.26904888142222433</v>
      </c>
      <c r="J211" s="21">
        <v>3.2285865770666922</v>
      </c>
      <c r="K211" s="21">
        <v>0.51200000000000012</v>
      </c>
      <c r="L211" s="21">
        <v>1.6530363274581468</v>
      </c>
      <c r="M211" s="22" t="s">
        <v>22</v>
      </c>
      <c r="N211" s="22" t="s">
        <v>18</v>
      </c>
      <c r="O211" s="23">
        <v>0.5</v>
      </c>
      <c r="P211" s="20">
        <v>0.91617852110522879</v>
      </c>
    </row>
    <row r="212" spans="1:16">
      <c r="A212" s="16" t="s">
        <v>231</v>
      </c>
      <c r="B212" s="16" t="s">
        <v>593</v>
      </c>
      <c r="C212" s="18" t="s">
        <v>20</v>
      </c>
      <c r="D212" s="18" t="s">
        <v>20</v>
      </c>
      <c r="E212" s="19"/>
      <c r="F212" s="20"/>
      <c r="G212" s="21"/>
      <c r="H212" s="19"/>
      <c r="I212" s="20"/>
      <c r="J212" s="21"/>
      <c r="K212" s="21"/>
      <c r="L212" s="21"/>
      <c r="M212" s="22"/>
      <c r="N212" s="22"/>
      <c r="O212" s="23" t="s">
        <v>14</v>
      </c>
      <c r="P212" s="20"/>
    </row>
    <row r="213" spans="1:16">
      <c r="A213" s="16" t="s">
        <v>232</v>
      </c>
      <c r="B213" s="16" t="s">
        <v>593</v>
      </c>
      <c r="C213" s="18" t="s">
        <v>20</v>
      </c>
      <c r="D213" s="18" t="s">
        <v>20</v>
      </c>
      <c r="E213" s="19">
        <v>12</v>
      </c>
      <c r="F213" s="20">
        <v>0.28170605110151575</v>
      </c>
      <c r="G213" s="21">
        <v>3.3804726132181893</v>
      </c>
      <c r="H213" s="19">
        <v>14</v>
      </c>
      <c r="I213" s="20">
        <v>0.26328838433191526</v>
      </c>
      <c r="J213" s="21">
        <v>3.6860373806468134</v>
      </c>
      <c r="K213" s="21">
        <v>0.51200000000000012</v>
      </c>
      <c r="L213" s="21">
        <v>1.887251138891169</v>
      </c>
      <c r="M213" s="22" t="s">
        <v>18</v>
      </c>
      <c r="N213" s="22" t="s">
        <v>18</v>
      </c>
      <c r="O213" s="23">
        <v>1</v>
      </c>
      <c r="P213" s="20">
        <v>0.78078429012210682</v>
      </c>
    </row>
    <row r="214" spans="1:16">
      <c r="A214" s="16" t="s">
        <v>233</v>
      </c>
      <c r="B214" s="16" t="s">
        <v>593</v>
      </c>
      <c r="C214" s="18" t="s">
        <v>20</v>
      </c>
      <c r="D214" s="18" t="s">
        <v>20</v>
      </c>
      <c r="E214" s="19">
        <v>20</v>
      </c>
      <c r="F214" s="20">
        <v>0.30591258880581623</v>
      </c>
      <c r="G214" s="21">
        <v>6.1182517761163249</v>
      </c>
      <c r="H214" s="19">
        <v>22</v>
      </c>
      <c r="I214" s="20">
        <v>0.29199166107022501</v>
      </c>
      <c r="J214" s="21">
        <v>6.4238165435449499</v>
      </c>
      <c r="K214" s="21">
        <v>0.51200000000000012</v>
      </c>
      <c r="L214" s="21">
        <v>3.2889940702950153</v>
      </c>
      <c r="M214" s="22" t="s">
        <v>22</v>
      </c>
      <c r="N214" s="22" t="s">
        <v>16</v>
      </c>
      <c r="O214" s="23">
        <v>0.2</v>
      </c>
      <c r="P214" s="20">
        <v>0.99631590455130403</v>
      </c>
    </row>
    <row r="215" spans="1:16">
      <c r="A215" s="16" t="s">
        <v>234</v>
      </c>
      <c r="B215" s="16" t="s">
        <v>587</v>
      </c>
      <c r="C215" s="18" t="s">
        <v>20</v>
      </c>
      <c r="D215" s="18" t="s">
        <v>20</v>
      </c>
      <c r="E215" s="19"/>
      <c r="F215" s="20"/>
      <c r="G215" s="21"/>
      <c r="H215" s="19"/>
      <c r="I215" s="20"/>
      <c r="J215" s="21"/>
      <c r="K215" s="21"/>
      <c r="L215" s="21"/>
      <c r="M215" s="22"/>
      <c r="N215" s="22"/>
      <c r="O215" s="23" t="s">
        <v>14</v>
      </c>
      <c r="P215" s="20"/>
    </row>
    <row r="216" spans="1:16">
      <c r="A216" s="16" t="s">
        <v>235</v>
      </c>
      <c r="B216" s="16" t="s">
        <v>590</v>
      </c>
      <c r="C216" s="18" t="s">
        <v>20</v>
      </c>
      <c r="D216" s="18" t="s">
        <v>20</v>
      </c>
      <c r="E216" s="19">
        <v>7</v>
      </c>
      <c r="F216" s="20">
        <v>0.28835411725445415</v>
      </c>
      <c r="G216" s="21">
        <v>2.018478820781179</v>
      </c>
      <c r="H216" s="19">
        <v>10</v>
      </c>
      <c r="I216" s="20">
        <v>0.25872718583654186</v>
      </c>
      <c r="J216" s="21">
        <v>2.5872718583654186</v>
      </c>
      <c r="K216" s="21">
        <v>0.51200000000000012</v>
      </c>
      <c r="L216" s="21">
        <v>1.3246831914830945</v>
      </c>
      <c r="M216" s="22" t="s">
        <v>22</v>
      </c>
      <c r="N216" s="22" t="s">
        <v>16</v>
      </c>
      <c r="O216" s="23">
        <v>0.2</v>
      </c>
      <c r="P216" s="20">
        <v>0.97771321491516838</v>
      </c>
    </row>
    <row r="217" spans="1:16">
      <c r="A217" s="16" t="s">
        <v>236</v>
      </c>
      <c r="B217" s="16" t="s">
        <v>587</v>
      </c>
      <c r="C217" s="18" t="s">
        <v>20</v>
      </c>
      <c r="D217" s="18" t="s">
        <v>27</v>
      </c>
      <c r="E217" s="19">
        <v>17</v>
      </c>
      <c r="F217" s="20">
        <v>0.26322827015561517</v>
      </c>
      <c r="G217" s="21">
        <v>4.4748805926454578</v>
      </c>
      <c r="H217" s="19">
        <v>20</v>
      </c>
      <c r="I217" s="20">
        <v>0.2521836815114849</v>
      </c>
      <c r="J217" s="21">
        <v>5.0436736302296978</v>
      </c>
      <c r="K217" s="21">
        <v>0.51200000000000012</v>
      </c>
      <c r="L217" s="21">
        <v>2.5823608986776061</v>
      </c>
      <c r="M217" s="22" t="s">
        <v>15</v>
      </c>
      <c r="N217" s="22" t="s">
        <v>18</v>
      </c>
      <c r="O217" s="23">
        <v>2.5</v>
      </c>
      <c r="P217" s="20">
        <v>0.51620098950219528</v>
      </c>
    </row>
    <row r="218" spans="1:16">
      <c r="A218" s="16" t="s">
        <v>237</v>
      </c>
      <c r="B218" s="16" t="s">
        <v>591</v>
      </c>
      <c r="C218" s="18" t="s">
        <v>20</v>
      </c>
      <c r="D218" s="18" t="s">
        <v>20</v>
      </c>
      <c r="E218" s="19">
        <v>14</v>
      </c>
      <c r="F218" s="20">
        <v>0.26204497377040736</v>
      </c>
      <c r="G218" s="21">
        <v>3.6686296327857031</v>
      </c>
      <c r="H218" s="19">
        <v>17</v>
      </c>
      <c r="I218" s="20">
        <v>0.24926015708058488</v>
      </c>
      <c r="J218" s="21">
        <v>4.2374226703699431</v>
      </c>
      <c r="K218" s="21">
        <v>0.51200000000000012</v>
      </c>
      <c r="L218" s="21">
        <v>2.1695604072294112</v>
      </c>
      <c r="M218" s="22" t="s">
        <v>15</v>
      </c>
      <c r="N218" s="22" t="s">
        <v>16</v>
      </c>
      <c r="O218" s="23">
        <v>1</v>
      </c>
      <c r="P218" s="20">
        <v>0.82477635559830875</v>
      </c>
    </row>
    <row r="219" spans="1:16">
      <c r="A219" s="16" t="s">
        <v>238</v>
      </c>
      <c r="B219" s="16" t="s">
        <v>588</v>
      </c>
      <c r="C219" s="18" t="s">
        <v>20</v>
      </c>
      <c r="D219" s="18" t="s">
        <v>20</v>
      </c>
      <c r="E219" s="19">
        <v>14</v>
      </c>
      <c r="F219" s="20">
        <v>0.25072712285499132</v>
      </c>
      <c r="G219" s="21">
        <v>3.5101797199698783</v>
      </c>
      <c r="H219" s="19">
        <v>17</v>
      </c>
      <c r="I219" s="20">
        <v>0.23993957397377166</v>
      </c>
      <c r="J219" s="21">
        <v>4.0789727575541184</v>
      </c>
      <c r="K219" s="21">
        <v>0.51200000000000012</v>
      </c>
      <c r="L219" s="21">
        <v>2.0884340518677091</v>
      </c>
      <c r="M219" s="22" t="s">
        <v>18</v>
      </c>
      <c r="N219" s="22" t="s">
        <v>46</v>
      </c>
      <c r="O219" s="23">
        <v>2</v>
      </c>
      <c r="P219" s="20">
        <v>0.52162018378420849</v>
      </c>
    </row>
    <row r="220" spans="1:16">
      <c r="A220" s="16" t="s">
        <v>239</v>
      </c>
      <c r="B220" s="16" t="s">
        <v>607</v>
      </c>
      <c r="C220" s="18" t="s">
        <v>20</v>
      </c>
      <c r="D220" s="18" t="s">
        <v>20</v>
      </c>
      <c r="E220" s="19">
        <v>25</v>
      </c>
      <c r="F220" s="20">
        <v>0.29826200398372299</v>
      </c>
      <c r="G220" s="21">
        <v>7.4565500995930751</v>
      </c>
      <c r="H220" s="19">
        <v>28</v>
      </c>
      <c r="I220" s="20">
        <v>0.28661939775633266</v>
      </c>
      <c r="J220" s="21">
        <v>8.0253431371773143</v>
      </c>
      <c r="K220" s="21">
        <v>0.51200000000000012</v>
      </c>
      <c r="L220" s="21">
        <v>4.1089756862347855</v>
      </c>
      <c r="M220" s="22" t="s">
        <v>15</v>
      </c>
      <c r="N220" s="22" t="s">
        <v>18</v>
      </c>
      <c r="O220" s="23">
        <v>2.5</v>
      </c>
      <c r="P220" s="20">
        <v>0.72983115187551095</v>
      </c>
    </row>
    <row r="221" spans="1:16">
      <c r="A221" s="16" t="s">
        <v>240</v>
      </c>
      <c r="B221" s="16" t="s">
        <v>608</v>
      </c>
      <c r="C221" s="18" t="s">
        <v>20</v>
      </c>
      <c r="D221" s="18" t="s">
        <v>20</v>
      </c>
      <c r="E221" s="19">
        <v>12</v>
      </c>
      <c r="F221" s="20">
        <v>0.26021612395793398</v>
      </c>
      <c r="G221" s="21">
        <v>3.1225934874952079</v>
      </c>
      <c r="H221" s="19">
        <v>15</v>
      </c>
      <c r="I221" s="20">
        <v>0.24609243500529651</v>
      </c>
      <c r="J221" s="21">
        <v>3.6913865250794475</v>
      </c>
      <c r="K221" s="21">
        <v>0.51200000000000012</v>
      </c>
      <c r="L221" s="21">
        <v>1.8899899008406775</v>
      </c>
      <c r="M221" s="22" t="s">
        <v>22</v>
      </c>
      <c r="N221" s="22" t="s">
        <v>18</v>
      </c>
      <c r="O221" s="23">
        <v>0.5</v>
      </c>
      <c r="P221" s="20">
        <v>0.93459027838156405</v>
      </c>
    </row>
    <row r="222" spans="1:16">
      <c r="A222" s="16" t="s">
        <v>241</v>
      </c>
      <c r="B222" s="16" t="s">
        <v>587</v>
      </c>
      <c r="C222" s="18" t="s">
        <v>20</v>
      </c>
      <c r="D222" s="18" t="s">
        <v>20</v>
      </c>
      <c r="E222" s="19">
        <v>9</v>
      </c>
      <c r="F222" s="20">
        <v>0.31145177249284145</v>
      </c>
      <c r="G222" s="21">
        <v>2.8030659524355732</v>
      </c>
      <c r="H222" s="19">
        <v>11</v>
      </c>
      <c r="I222" s="20">
        <v>0.28260279271492705</v>
      </c>
      <c r="J222" s="21">
        <v>3.1086307198641974</v>
      </c>
      <c r="K222" s="21">
        <v>0.51200000000000012</v>
      </c>
      <c r="L222" s="21">
        <v>1.5916189285704694</v>
      </c>
      <c r="M222" s="22" t="s">
        <v>22</v>
      </c>
      <c r="N222" s="22" t="s">
        <v>18</v>
      </c>
      <c r="O222" s="23">
        <v>0.5</v>
      </c>
      <c r="P222" s="20">
        <v>0.91017697766874028</v>
      </c>
    </row>
    <row r="223" spans="1:16">
      <c r="A223" s="16" t="s">
        <v>242</v>
      </c>
      <c r="B223" s="16" t="s">
        <v>587</v>
      </c>
      <c r="C223" s="18" t="s">
        <v>20</v>
      </c>
      <c r="D223" s="18" t="s">
        <v>20</v>
      </c>
      <c r="E223" s="19">
        <v>20</v>
      </c>
      <c r="F223" s="20">
        <v>0.31682208770824599</v>
      </c>
      <c r="G223" s="21">
        <v>6.3364417541649196</v>
      </c>
      <c r="H223" s="19">
        <v>22</v>
      </c>
      <c r="I223" s="20">
        <v>0.3019093873451611</v>
      </c>
      <c r="J223" s="21">
        <v>6.6420065215935438</v>
      </c>
      <c r="K223" s="21">
        <v>0.51200000000000012</v>
      </c>
      <c r="L223" s="21">
        <v>3.4007073390558951</v>
      </c>
      <c r="M223" s="22" t="s">
        <v>22</v>
      </c>
      <c r="N223" s="22" t="s">
        <v>18</v>
      </c>
      <c r="O223" s="23">
        <v>0.5</v>
      </c>
      <c r="P223" s="20">
        <v>0.97884011749566679</v>
      </c>
    </row>
    <row r="224" spans="1:16">
      <c r="A224" s="16" t="s">
        <v>243</v>
      </c>
      <c r="B224" s="16" t="s">
        <v>608</v>
      </c>
      <c r="C224" s="18" t="s">
        <v>20</v>
      </c>
      <c r="D224" s="18" t="s">
        <v>20</v>
      </c>
      <c r="E224" s="19">
        <v>14</v>
      </c>
      <c r="F224" s="20">
        <v>0.28825963000059868</v>
      </c>
      <c r="G224" s="21">
        <v>4.0356348200083811</v>
      </c>
      <c r="H224" s="19">
        <v>16</v>
      </c>
      <c r="I224" s="20">
        <v>0.27132497421481289</v>
      </c>
      <c r="J224" s="21">
        <v>4.3411995874370062</v>
      </c>
      <c r="K224" s="21">
        <v>0.51200000000000012</v>
      </c>
      <c r="L224" s="21">
        <v>2.2226941887677478</v>
      </c>
      <c r="M224" s="22" t="s">
        <v>22</v>
      </c>
      <c r="N224" s="22" t="s">
        <v>18</v>
      </c>
      <c r="O224" s="23">
        <v>0.5</v>
      </c>
      <c r="P224" s="20">
        <v>0.95183387192729774</v>
      </c>
    </row>
    <row r="225" spans="1:16">
      <c r="A225" s="16" t="s">
        <v>244</v>
      </c>
      <c r="B225" s="16" t="s">
        <v>593</v>
      </c>
      <c r="C225" s="18" t="s">
        <v>20</v>
      </c>
      <c r="D225" s="18" t="s">
        <v>20</v>
      </c>
      <c r="E225" s="19">
        <v>8</v>
      </c>
      <c r="F225" s="20">
        <v>0.29233112205842543</v>
      </c>
      <c r="G225" s="21">
        <v>2.3386489764674034</v>
      </c>
      <c r="H225" s="19">
        <v>10</v>
      </c>
      <c r="I225" s="20">
        <v>0.26442137438960278</v>
      </c>
      <c r="J225" s="21">
        <v>2.644213743896028</v>
      </c>
      <c r="K225" s="21">
        <v>0.51200000000000012</v>
      </c>
      <c r="L225" s="21">
        <v>1.3538374368747668</v>
      </c>
      <c r="M225" s="22" t="s">
        <v>22</v>
      </c>
      <c r="N225" s="22" t="s">
        <v>18</v>
      </c>
      <c r="O225" s="23">
        <v>0.5</v>
      </c>
      <c r="P225" s="20">
        <v>0.87997364060698247</v>
      </c>
    </row>
    <row r="226" spans="1:16">
      <c r="A226" s="16" t="s">
        <v>245</v>
      </c>
      <c r="B226" s="16" t="s">
        <v>598</v>
      </c>
      <c r="C226" s="18" t="s">
        <v>20</v>
      </c>
      <c r="D226" s="18" t="s">
        <v>20</v>
      </c>
      <c r="E226" s="19">
        <v>10</v>
      </c>
      <c r="F226" s="20">
        <v>0.2876877560690897</v>
      </c>
      <c r="G226" s="21">
        <v>2.8768775606908967</v>
      </c>
      <c r="H226" s="19">
        <v>12</v>
      </c>
      <c r="I226" s="20">
        <v>0.26520352734329344</v>
      </c>
      <c r="J226" s="21">
        <v>3.1824423281195213</v>
      </c>
      <c r="K226" s="21">
        <v>0.51200000000000012</v>
      </c>
      <c r="L226" s="21">
        <v>1.6294104719971954</v>
      </c>
      <c r="M226" s="22" t="s">
        <v>22</v>
      </c>
      <c r="N226" s="22" t="s">
        <v>46</v>
      </c>
      <c r="O226" s="23">
        <v>1</v>
      </c>
      <c r="P226" s="20">
        <v>0.72640057834516292</v>
      </c>
    </row>
    <row r="227" spans="1:16">
      <c r="A227" s="16" t="s">
        <v>246</v>
      </c>
      <c r="B227" s="16" t="s">
        <v>598</v>
      </c>
      <c r="C227" s="18" t="s">
        <v>20</v>
      </c>
      <c r="D227" s="18" t="s">
        <v>20</v>
      </c>
      <c r="E227" s="19">
        <v>13</v>
      </c>
      <c r="F227" s="20">
        <v>0.28516093198602926</v>
      </c>
      <c r="G227" s="21">
        <v>3.7070921158183805</v>
      </c>
      <c r="H227" s="19">
        <v>15</v>
      </c>
      <c r="I227" s="20">
        <v>0.26751045888313368</v>
      </c>
      <c r="J227" s="21">
        <v>4.0126568832470051</v>
      </c>
      <c r="K227" s="21">
        <v>0.51200000000000012</v>
      </c>
      <c r="L227" s="21">
        <v>2.054480324222467</v>
      </c>
      <c r="M227" s="22" t="s">
        <v>15</v>
      </c>
      <c r="N227" s="22" t="s">
        <v>18</v>
      </c>
      <c r="O227" s="23">
        <v>2.5</v>
      </c>
      <c r="P227" s="20">
        <v>0.40310705617444681</v>
      </c>
    </row>
    <row r="228" spans="1:16">
      <c r="A228" s="16" t="s">
        <v>247</v>
      </c>
      <c r="B228" s="16" t="s">
        <v>598</v>
      </c>
      <c r="C228" s="18" t="s">
        <v>20</v>
      </c>
      <c r="D228" s="18" t="s">
        <v>20</v>
      </c>
      <c r="E228" s="19">
        <v>12</v>
      </c>
      <c r="F228" s="20">
        <v>0.3230249352727213</v>
      </c>
      <c r="G228" s="21">
        <v>3.8762992232726559</v>
      </c>
      <c r="H228" s="19">
        <v>14</v>
      </c>
      <c r="I228" s="20">
        <v>0.29870457076437723</v>
      </c>
      <c r="J228" s="21">
        <v>4.1818639907012809</v>
      </c>
      <c r="K228" s="21">
        <v>0.51200000000000012</v>
      </c>
      <c r="L228" s="21">
        <v>2.1411143632390561</v>
      </c>
      <c r="M228" s="22" t="s">
        <v>22</v>
      </c>
      <c r="N228" s="22" t="s">
        <v>18</v>
      </c>
      <c r="O228" s="23">
        <v>0.5</v>
      </c>
      <c r="P228" s="20">
        <v>0.9482869612898408</v>
      </c>
    </row>
    <row r="229" spans="1:16">
      <c r="A229" s="16" t="s">
        <v>248</v>
      </c>
      <c r="B229" s="16" t="s">
        <v>588</v>
      </c>
      <c r="C229" s="18" t="s">
        <v>20</v>
      </c>
      <c r="D229" s="18" t="s">
        <v>20</v>
      </c>
      <c r="E229" s="19"/>
      <c r="F229" s="20"/>
      <c r="G229" s="21"/>
      <c r="H229" s="19"/>
      <c r="I229" s="20"/>
      <c r="J229" s="21"/>
      <c r="K229" s="21"/>
      <c r="L229" s="21"/>
      <c r="M229" s="22"/>
      <c r="N229" s="22"/>
      <c r="O229" s="23" t="s">
        <v>14</v>
      </c>
      <c r="P229" s="20"/>
    </row>
    <row r="230" spans="1:16">
      <c r="A230" s="16" t="s">
        <v>249</v>
      </c>
      <c r="B230" s="16" t="s">
        <v>591</v>
      </c>
      <c r="C230" s="18" t="s">
        <v>20</v>
      </c>
      <c r="D230" s="18" t="s">
        <v>20</v>
      </c>
      <c r="E230" s="19">
        <v>6</v>
      </c>
      <c r="F230" s="20">
        <v>0.27378396909406949</v>
      </c>
      <c r="G230" s="21">
        <v>1.6427038145644168</v>
      </c>
      <c r="H230" s="19">
        <v>9</v>
      </c>
      <c r="I230" s="20">
        <v>0.24778096957674473</v>
      </c>
      <c r="J230" s="21">
        <v>2.2300287261907026</v>
      </c>
      <c r="K230" s="21">
        <v>0.51200000000000012</v>
      </c>
      <c r="L230" s="21">
        <v>1.1417747078096401</v>
      </c>
      <c r="M230" s="22" t="s">
        <v>22</v>
      </c>
      <c r="N230" s="22" t="s">
        <v>16</v>
      </c>
      <c r="O230" s="23">
        <v>0.2</v>
      </c>
      <c r="P230" s="20">
        <v>0.9702303312773447</v>
      </c>
    </row>
    <row r="231" spans="1:16">
      <c r="A231" s="16" t="s">
        <v>250</v>
      </c>
      <c r="B231" s="16" t="s">
        <v>596</v>
      </c>
      <c r="C231" s="18" t="s">
        <v>20</v>
      </c>
      <c r="D231" s="18" t="s">
        <v>27</v>
      </c>
      <c r="E231" s="19">
        <v>6</v>
      </c>
      <c r="F231" s="20">
        <v>0.28176014419766127</v>
      </c>
      <c r="G231" s="21">
        <v>1.6905608651859676</v>
      </c>
      <c r="H231" s="19">
        <v>9</v>
      </c>
      <c r="I231" s="20">
        <v>0.25309841964580593</v>
      </c>
      <c r="J231" s="21">
        <v>2.2778857768122531</v>
      </c>
      <c r="K231" s="21">
        <v>0.51200000000000012</v>
      </c>
      <c r="L231" s="21">
        <v>1.1662775177278739</v>
      </c>
      <c r="M231" s="22" t="s">
        <v>22</v>
      </c>
      <c r="N231" s="22" t="s">
        <v>18</v>
      </c>
      <c r="O231" s="23">
        <v>0.5</v>
      </c>
      <c r="P231" s="20">
        <v>0.84474009709332298</v>
      </c>
    </row>
    <row r="232" spans="1:16">
      <c r="A232" s="16" t="s">
        <v>251</v>
      </c>
      <c r="B232" s="16" t="s">
        <v>598</v>
      </c>
      <c r="C232" s="18" t="s">
        <v>20</v>
      </c>
      <c r="D232" s="18" t="s">
        <v>20</v>
      </c>
      <c r="E232" s="19">
        <v>12</v>
      </c>
      <c r="F232" s="20">
        <v>0.28263204909270351</v>
      </c>
      <c r="G232" s="21">
        <v>3.3915845891124423</v>
      </c>
      <c r="H232" s="19">
        <v>15</v>
      </c>
      <c r="I232" s="20">
        <v>0.26526063338258188</v>
      </c>
      <c r="J232" s="21">
        <v>3.9789095007387281</v>
      </c>
      <c r="K232" s="21">
        <v>0.51200000000000012</v>
      </c>
      <c r="L232" s="21">
        <v>2.0372016643782294</v>
      </c>
      <c r="M232" s="22" t="s">
        <v>22</v>
      </c>
      <c r="N232" s="22" t="s">
        <v>16</v>
      </c>
      <c r="O232" s="23">
        <v>0.2</v>
      </c>
      <c r="P232" s="20">
        <v>0.99045389491441405</v>
      </c>
    </row>
    <row r="233" spans="1:16">
      <c r="A233" s="16" t="s">
        <v>252</v>
      </c>
      <c r="B233" s="16" t="s">
        <v>597</v>
      </c>
      <c r="C233" s="18" t="s">
        <v>20</v>
      </c>
      <c r="D233" s="18" t="s">
        <v>20</v>
      </c>
      <c r="E233" s="19">
        <v>5</v>
      </c>
      <c r="F233" s="20">
        <v>0.31372964696971511</v>
      </c>
      <c r="G233" s="21">
        <v>1.5686482348485755</v>
      </c>
      <c r="H233" s="19">
        <v>8</v>
      </c>
      <c r="I233" s="20">
        <v>0.26949664330935769</v>
      </c>
      <c r="J233" s="21">
        <v>2.1559731464748615</v>
      </c>
      <c r="K233" s="21">
        <v>0.51200000000000012</v>
      </c>
      <c r="L233" s="21">
        <v>1.1038582509951294</v>
      </c>
      <c r="M233" s="22" t="s">
        <v>22</v>
      </c>
      <c r="N233" s="22" t="s">
        <v>18</v>
      </c>
      <c r="O233" s="23">
        <v>0.5</v>
      </c>
      <c r="P233" s="20">
        <v>0.8297586089497585</v>
      </c>
    </row>
    <row r="234" spans="1:16">
      <c r="A234" s="16" t="s">
        <v>253</v>
      </c>
      <c r="B234" s="16" t="s">
        <v>588</v>
      </c>
      <c r="C234" s="18" t="s">
        <v>20</v>
      </c>
      <c r="D234" s="18" t="s">
        <v>20</v>
      </c>
      <c r="E234" s="19">
        <v>6</v>
      </c>
      <c r="F234" s="20">
        <v>0.2734362485930702</v>
      </c>
      <c r="G234" s="21">
        <v>1.6406174915584213</v>
      </c>
      <c r="H234" s="19">
        <v>9</v>
      </c>
      <c r="I234" s="20">
        <v>0.2475491559094119</v>
      </c>
      <c r="J234" s="21">
        <v>2.227942403184707</v>
      </c>
      <c r="K234" s="21">
        <v>0.51200000000000012</v>
      </c>
      <c r="L234" s="21">
        <v>1.1407065104305703</v>
      </c>
      <c r="M234" s="22" t="s">
        <v>22</v>
      </c>
      <c r="N234" s="22" t="s">
        <v>18</v>
      </c>
      <c r="O234" s="23">
        <v>0.5</v>
      </c>
      <c r="P234" s="20">
        <v>0.83883562924031485</v>
      </c>
    </row>
    <row r="235" spans="1:16">
      <c r="A235" s="16" t="s">
        <v>254</v>
      </c>
      <c r="B235" s="16"/>
      <c r="C235" s="18"/>
      <c r="D235" s="18"/>
      <c r="E235" s="19"/>
      <c r="F235" s="20"/>
      <c r="G235" s="21"/>
      <c r="H235" s="19"/>
      <c r="I235" s="20"/>
      <c r="J235" s="21"/>
      <c r="K235" s="21"/>
      <c r="L235" s="21"/>
      <c r="M235" s="22"/>
      <c r="N235" s="22"/>
      <c r="O235" s="23" t="s">
        <v>14</v>
      </c>
      <c r="P235" s="20"/>
    </row>
    <row r="236" spans="1:16">
      <c r="A236" s="16" t="s">
        <v>255</v>
      </c>
      <c r="B236" s="16" t="s">
        <v>587</v>
      </c>
      <c r="C236" s="18" t="s">
        <v>12</v>
      </c>
      <c r="D236" s="18" t="s">
        <v>13</v>
      </c>
      <c r="E236" s="19">
        <v>7</v>
      </c>
      <c r="F236" s="20">
        <v>0.30556476742862476</v>
      </c>
      <c r="G236" s="21">
        <v>2.1389533720003735</v>
      </c>
      <c r="H236" s="19">
        <v>7</v>
      </c>
      <c r="I236" s="20">
        <v>0.30556476742862476</v>
      </c>
      <c r="J236" s="21">
        <v>2.1389533720003735</v>
      </c>
      <c r="K236" s="21">
        <v>0.51200000000000012</v>
      </c>
      <c r="L236" s="21">
        <v>1.0951441264641915</v>
      </c>
      <c r="M236" s="22" t="s">
        <v>15</v>
      </c>
      <c r="N236" s="22" t="s">
        <v>16</v>
      </c>
      <c r="O236" s="23">
        <v>1</v>
      </c>
      <c r="P236" s="20">
        <v>0.54531827687277212</v>
      </c>
    </row>
    <row r="237" spans="1:16">
      <c r="A237" s="16" t="s">
        <v>256</v>
      </c>
      <c r="B237" s="16" t="s">
        <v>588</v>
      </c>
      <c r="C237" s="18" t="s">
        <v>20</v>
      </c>
      <c r="D237" s="18" t="s">
        <v>20</v>
      </c>
      <c r="E237" s="19">
        <v>15</v>
      </c>
      <c r="F237" s="20">
        <v>0.36169425598386251</v>
      </c>
      <c r="G237" s="21">
        <v>5.4254138397579377</v>
      </c>
      <c r="H237" s="19">
        <v>19</v>
      </c>
      <c r="I237" s="20">
        <v>0.34764923045508028</v>
      </c>
      <c r="J237" s="21">
        <v>6.605335378646525</v>
      </c>
      <c r="K237" s="21">
        <v>0.51200000000000012</v>
      </c>
      <c r="L237" s="21">
        <v>3.3819317138670217</v>
      </c>
      <c r="M237" s="22" t="s">
        <v>18</v>
      </c>
      <c r="N237" s="22" t="s">
        <v>16</v>
      </c>
      <c r="O237" s="23">
        <v>0.4</v>
      </c>
      <c r="P237" s="20">
        <v>0.98620387819487809</v>
      </c>
    </row>
    <row r="238" spans="1:16">
      <c r="A238" s="16" t="s">
        <v>257</v>
      </c>
      <c r="B238" s="16" t="s">
        <v>596</v>
      </c>
      <c r="C238" s="18" t="s">
        <v>20</v>
      </c>
      <c r="D238" s="18" t="s">
        <v>20</v>
      </c>
      <c r="E238" s="19">
        <v>8</v>
      </c>
      <c r="F238" s="20">
        <v>0.27428771338247959</v>
      </c>
      <c r="G238" s="21">
        <v>2.1943017070598367</v>
      </c>
      <c r="H238" s="19">
        <v>12</v>
      </c>
      <c r="I238" s="20">
        <v>0.28118527049570202</v>
      </c>
      <c r="J238" s="21">
        <v>3.374223245948424</v>
      </c>
      <c r="K238" s="21">
        <v>0.51200000000000012</v>
      </c>
      <c r="L238" s="21">
        <v>1.7276023019255935</v>
      </c>
      <c r="M238" s="22" t="s">
        <v>18</v>
      </c>
      <c r="N238" s="22" t="s">
        <v>18</v>
      </c>
      <c r="O238" s="23">
        <v>1</v>
      </c>
      <c r="P238" s="20">
        <v>0.74903439185469101</v>
      </c>
    </row>
    <row r="239" spans="1:16">
      <c r="A239" s="16" t="s">
        <v>258</v>
      </c>
      <c r="B239" s="16" t="s">
        <v>593</v>
      </c>
      <c r="C239" s="18" t="s">
        <v>12</v>
      </c>
      <c r="D239" s="18" t="s">
        <v>13</v>
      </c>
      <c r="E239" s="19">
        <v>24</v>
      </c>
      <c r="F239" s="20">
        <v>0.28304744325443137</v>
      </c>
      <c r="G239" s="21">
        <v>6.7931386381063525</v>
      </c>
      <c r="H239" s="19">
        <v>24</v>
      </c>
      <c r="I239" s="20">
        <v>0.28304744325443137</v>
      </c>
      <c r="J239" s="21">
        <v>6.7931386381063525</v>
      </c>
      <c r="K239" s="21">
        <v>0.51200000000000012</v>
      </c>
      <c r="L239" s="21">
        <v>3.4780869827104532</v>
      </c>
      <c r="M239" s="22" t="s">
        <v>22</v>
      </c>
      <c r="N239" s="22" t="s">
        <v>18</v>
      </c>
      <c r="O239" s="23">
        <v>0.5</v>
      </c>
      <c r="P239" s="20">
        <v>0.97975231256538975</v>
      </c>
    </row>
    <row r="240" spans="1:16">
      <c r="A240" s="16" t="s">
        <v>259</v>
      </c>
      <c r="B240" s="16" t="s">
        <v>593</v>
      </c>
      <c r="C240" s="18" t="s">
        <v>12</v>
      </c>
      <c r="D240" s="18" t="s">
        <v>13</v>
      </c>
      <c r="E240" s="19">
        <v>19</v>
      </c>
      <c r="F240" s="20">
        <v>0.30225449954837214</v>
      </c>
      <c r="G240" s="21">
        <v>5.7428354914190702</v>
      </c>
      <c r="H240" s="19">
        <v>19</v>
      </c>
      <c r="I240" s="20">
        <v>0.30225449954837214</v>
      </c>
      <c r="J240" s="21">
        <v>5.7428354914190702</v>
      </c>
      <c r="K240" s="21">
        <v>0.51200000000000012</v>
      </c>
      <c r="L240" s="21">
        <v>2.9403317716065644</v>
      </c>
      <c r="M240" s="22" t="s">
        <v>22</v>
      </c>
      <c r="N240" s="22" t="s">
        <v>16</v>
      </c>
      <c r="O240" s="23">
        <v>0.2</v>
      </c>
      <c r="P240" s="20">
        <v>0.99539465022591644</v>
      </c>
    </row>
    <row r="241" spans="1:16">
      <c r="A241" s="16" t="s">
        <v>260</v>
      </c>
      <c r="B241" s="16" t="s">
        <v>607</v>
      </c>
      <c r="C241" s="18" t="s">
        <v>12</v>
      </c>
      <c r="D241" s="18" t="s">
        <v>13</v>
      </c>
      <c r="E241" s="19">
        <v>8</v>
      </c>
      <c r="F241" s="20">
        <v>0.28905482865715937</v>
      </c>
      <c r="G241" s="21">
        <v>2.3124386292572749</v>
      </c>
      <c r="H241" s="19">
        <v>8</v>
      </c>
      <c r="I241" s="20">
        <v>0.28905482865715937</v>
      </c>
      <c r="J241" s="21">
        <v>2.3124386292572749</v>
      </c>
      <c r="K241" s="21">
        <v>0.51200000000000012</v>
      </c>
      <c r="L241" s="21">
        <v>1.1839685781797251</v>
      </c>
      <c r="M241" s="22" t="s">
        <v>18</v>
      </c>
      <c r="N241" s="22" t="s">
        <v>18</v>
      </c>
      <c r="O241" s="23">
        <v>1</v>
      </c>
      <c r="P241" s="20">
        <v>0.58364240843153059</v>
      </c>
    </row>
    <row r="242" spans="1:16">
      <c r="A242" s="16" t="s">
        <v>261</v>
      </c>
      <c r="B242" s="16"/>
      <c r="C242" s="18"/>
      <c r="D242" s="18"/>
      <c r="E242" s="19"/>
      <c r="F242" s="20"/>
      <c r="G242" s="21"/>
      <c r="H242" s="19"/>
      <c r="I242" s="20"/>
      <c r="J242" s="21"/>
      <c r="K242" s="21"/>
      <c r="L242" s="21"/>
      <c r="M242" s="22"/>
      <c r="N242" s="22"/>
      <c r="O242" s="23" t="s">
        <v>14</v>
      </c>
      <c r="P242" s="20"/>
    </row>
    <row r="243" spans="1:16">
      <c r="A243" s="16" t="s">
        <v>262</v>
      </c>
      <c r="B243" s="16" t="s">
        <v>587</v>
      </c>
      <c r="C243" s="18" t="s">
        <v>12</v>
      </c>
      <c r="D243" s="18" t="s">
        <v>13</v>
      </c>
      <c r="E243" s="19">
        <v>7</v>
      </c>
      <c r="F243" s="20">
        <v>0.30556476742862476</v>
      </c>
      <c r="G243" s="21">
        <v>2.1389533720003735</v>
      </c>
      <c r="H243" s="19">
        <v>7</v>
      </c>
      <c r="I243" s="20">
        <v>0.30556476742862476</v>
      </c>
      <c r="J243" s="21">
        <v>2.1389533720003735</v>
      </c>
      <c r="K243" s="21">
        <v>0.51200000000000012</v>
      </c>
      <c r="L243" s="21">
        <v>1.0951441264641915</v>
      </c>
      <c r="M243" s="22" t="s">
        <v>15</v>
      </c>
      <c r="N243" s="22" t="s">
        <v>16</v>
      </c>
      <c r="O243" s="23">
        <v>1</v>
      </c>
      <c r="P243" s="20">
        <v>0.54531827687277212</v>
      </c>
    </row>
    <row r="244" spans="1:16">
      <c r="A244" s="16" t="s">
        <v>263</v>
      </c>
      <c r="B244" s="16" t="s">
        <v>588</v>
      </c>
      <c r="C244" s="18" t="s">
        <v>20</v>
      </c>
      <c r="D244" s="18" t="s">
        <v>20</v>
      </c>
      <c r="E244" s="19">
        <v>15</v>
      </c>
      <c r="F244" s="20">
        <v>0.33794373465697353</v>
      </c>
      <c r="G244" s="21">
        <v>5.0691560198546028</v>
      </c>
      <c r="H244" s="19">
        <v>17</v>
      </c>
      <c r="I244" s="20">
        <v>0.33074427139256662</v>
      </c>
      <c r="J244" s="21">
        <v>5.6226526136736323</v>
      </c>
      <c r="K244" s="21">
        <v>0.51200000000000012</v>
      </c>
      <c r="L244" s="21">
        <v>2.8787981382009002</v>
      </c>
      <c r="M244" s="22" t="s">
        <v>18</v>
      </c>
      <c r="N244" s="22" t="s">
        <v>16</v>
      </c>
      <c r="O244" s="23">
        <v>0.4</v>
      </c>
      <c r="P244" s="20">
        <v>0.98105943734293777</v>
      </c>
    </row>
    <row r="245" spans="1:16">
      <c r="A245" s="16" t="s">
        <v>264</v>
      </c>
      <c r="B245" s="16" t="s">
        <v>593</v>
      </c>
      <c r="C245" s="18" t="s">
        <v>20</v>
      </c>
      <c r="D245" s="18" t="s">
        <v>20</v>
      </c>
      <c r="E245" s="19"/>
      <c r="F245" s="20"/>
      <c r="G245" s="21"/>
      <c r="H245" s="19"/>
      <c r="I245" s="20"/>
      <c r="J245" s="21"/>
      <c r="K245" s="21"/>
      <c r="L245" s="21"/>
      <c r="M245" s="22"/>
      <c r="N245" s="22"/>
      <c r="O245" s="23" t="s">
        <v>14</v>
      </c>
      <c r="P245" s="20"/>
    </row>
    <row r="246" spans="1:16">
      <c r="A246" s="16" t="s">
        <v>265</v>
      </c>
      <c r="B246" s="16" t="s">
        <v>591</v>
      </c>
      <c r="C246" s="18" t="s">
        <v>20</v>
      </c>
      <c r="D246" s="18" t="s">
        <v>20</v>
      </c>
      <c r="E246" s="19">
        <v>14</v>
      </c>
      <c r="F246" s="20">
        <v>0.24882280548646998</v>
      </c>
      <c r="G246" s="21">
        <v>3.4835192768105796</v>
      </c>
      <c r="H246" s="19">
        <v>16</v>
      </c>
      <c r="I246" s="20">
        <v>0.25231349191435054</v>
      </c>
      <c r="J246" s="21">
        <v>4.0370158706296086</v>
      </c>
      <c r="K246" s="21">
        <v>0.51200000000000012</v>
      </c>
      <c r="L246" s="21">
        <v>2.0669521257623602</v>
      </c>
      <c r="M246" s="22" t="s">
        <v>22</v>
      </c>
      <c r="N246" s="22" t="s">
        <v>16</v>
      </c>
      <c r="O246" s="23">
        <v>0.2</v>
      </c>
      <c r="P246" s="20">
        <v>0.99072418833437226</v>
      </c>
    </row>
    <row r="247" spans="1:16">
      <c r="A247" s="16" t="s">
        <v>266</v>
      </c>
      <c r="B247" s="16" t="s">
        <v>591</v>
      </c>
      <c r="C247" s="18" t="s">
        <v>20</v>
      </c>
      <c r="D247" s="18" t="s">
        <v>20</v>
      </c>
      <c r="E247" s="19">
        <v>10</v>
      </c>
      <c r="F247" s="20">
        <v>0.25760652388226118</v>
      </c>
      <c r="G247" s="21">
        <v>2.5760652388226117</v>
      </c>
      <c r="H247" s="19">
        <v>12</v>
      </c>
      <c r="I247" s="20">
        <v>0.26079681938680344</v>
      </c>
      <c r="J247" s="21">
        <v>3.1295618326416412</v>
      </c>
      <c r="K247" s="21">
        <v>0.51200000000000012</v>
      </c>
      <c r="L247" s="21">
        <v>1.6023356583125208</v>
      </c>
      <c r="M247" s="22" t="s">
        <v>22</v>
      </c>
      <c r="N247" s="22" t="s">
        <v>16</v>
      </c>
      <c r="O247" s="23">
        <v>0.2</v>
      </c>
      <c r="P247" s="20">
        <v>0.98465951542459806</v>
      </c>
    </row>
    <row r="248" spans="1:16">
      <c r="A248" s="16" t="s">
        <v>267</v>
      </c>
      <c r="B248" s="16" t="s">
        <v>591</v>
      </c>
      <c r="C248" s="18" t="s">
        <v>20</v>
      </c>
      <c r="D248" s="18" t="s">
        <v>20</v>
      </c>
      <c r="E248" s="19">
        <v>12</v>
      </c>
      <c r="F248" s="20">
        <v>0.24823810162163062</v>
      </c>
      <c r="G248" s="21">
        <v>2.9788572194595675</v>
      </c>
      <c r="H248" s="19">
        <v>14</v>
      </c>
      <c r="I248" s="20">
        <v>0.25231098666275692</v>
      </c>
      <c r="J248" s="21">
        <v>3.532353813278597</v>
      </c>
      <c r="K248" s="21">
        <v>0.51200000000000012</v>
      </c>
      <c r="L248" s="21">
        <v>1.8085651523986421</v>
      </c>
      <c r="M248" s="22" t="s">
        <v>22</v>
      </c>
      <c r="N248" s="22" t="s">
        <v>16</v>
      </c>
      <c r="O248" s="23">
        <v>0.2</v>
      </c>
      <c r="P248" s="20">
        <v>0.98791872166740113</v>
      </c>
    </row>
    <row r="249" spans="1:16">
      <c r="A249" s="16" t="s">
        <v>268</v>
      </c>
      <c r="B249" s="16" t="s">
        <v>608</v>
      </c>
      <c r="C249" s="18" t="s">
        <v>20</v>
      </c>
      <c r="D249" s="18" t="s">
        <v>20</v>
      </c>
      <c r="E249" s="19">
        <v>14</v>
      </c>
      <c r="F249" s="20">
        <v>0.26500153492704398</v>
      </c>
      <c r="G249" s="21">
        <v>3.7100214889786156</v>
      </c>
      <c r="H249" s="19">
        <v>16</v>
      </c>
      <c r="I249" s="20">
        <v>0.26646988017485279</v>
      </c>
      <c r="J249" s="21">
        <v>4.2635180827976447</v>
      </c>
      <c r="K249" s="21">
        <v>0.51200000000000012</v>
      </c>
      <c r="L249" s="21">
        <v>2.1829212583923945</v>
      </c>
      <c r="M249" s="22" t="s">
        <v>22</v>
      </c>
      <c r="N249" s="22" t="s">
        <v>18</v>
      </c>
      <c r="O249" s="23">
        <v>0.5</v>
      </c>
      <c r="P249" s="20">
        <v>0.95015099483340992</v>
      </c>
    </row>
    <row r="250" spans="1:16">
      <c r="A250" s="16" t="s">
        <v>269</v>
      </c>
      <c r="B250" s="16" t="s">
        <v>587</v>
      </c>
      <c r="C250" s="18" t="s">
        <v>20</v>
      </c>
      <c r="D250" s="18" t="s">
        <v>20</v>
      </c>
      <c r="E250" s="19"/>
      <c r="F250" s="20"/>
      <c r="G250" s="21"/>
      <c r="H250" s="19"/>
      <c r="I250" s="20"/>
      <c r="J250" s="21"/>
      <c r="K250" s="21"/>
      <c r="L250" s="21"/>
      <c r="M250" s="22"/>
      <c r="N250" s="22"/>
      <c r="O250" s="23" t="s">
        <v>14</v>
      </c>
      <c r="P250" s="20"/>
    </row>
    <row r="251" spans="1:16">
      <c r="A251" s="16" t="s">
        <v>270</v>
      </c>
      <c r="B251" s="16" t="s">
        <v>597</v>
      </c>
      <c r="C251" s="18" t="s">
        <v>20</v>
      </c>
      <c r="D251" s="18" t="s">
        <v>20</v>
      </c>
      <c r="E251" s="19">
        <v>8</v>
      </c>
      <c r="F251" s="20">
        <v>0.26173772902748071</v>
      </c>
      <c r="G251" s="21">
        <v>2.0939018322198457</v>
      </c>
      <c r="H251" s="19">
        <v>11</v>
      </c>
      <c r="I251" s="20">
        <v>0.26808329821858207</v>
      </c>
      <c r="J251" s="21">
        <v>2.9489162804044029</v>
      </c>
      <c r="K251" s="21">
        <v>0.51200000000000012</v>
      </c>
      <c r="L251" s="21">
        <v>1.5098451355670546</v>
      </c>
      <c r="M251" s="22" t="s">
        <v>22</v>
      </c>
      <c r="N251" s="22" t="s">
        <v>16</v>
      </c>
      <c r="O251" s="23">
        <v>0.2</v>
      </c>
      <c r="P251" s="20">
        <v>0.98275588789476487</v>
      </c>
    </row>
    <row r="252" spans="1:16">
      <c r="A252" s="16" t="s">
        <v>271</v>
      </c>
      <c r="B252" s="16" t="s">
        <v>587</v>
      </c>
      <c r="C252" s="18" t="s">
        <v>20</v>
      </c>
      <c r="D252" s="18" t="s">
        <v>27</v>
      </c>
      <c r="E252" s="19">
        <v>8</v>
      </c>
      <c r="F252" s="20">
        <v>0.30151785436552703</v>
      </c>
      <c r="G252" s="21">
        <v>2.4121428349242162</v>
      </c>
      <c r="H252" s="19">
        <v>11</v>
      </c>
      <c r="I252" s="20">
        <v>0.29701429846443389</v>
      </c>
      <c r="J252" s="21">
        <v>3.267157283108773</v>
      </c>
      <c r="K252" s="21">
        <v>0.51200000000000012</v>
      </c>
      <c r="L252" s="21">
        <v>1.6727845289516921</v>
      </c>
      <c r="M252" s="22" t="s">
        <v>22</v>
      </c>
      <c r="N252" s="22" t="s">
        <v>16</v>
      </c>
      <c r="O252" s="23">
        <v>0.2</v>
      </c>
      <c r="P252" s="20">
        <v>0.98590660061972268</v>
      </c>
    </row>
    <row r="253" spans="1:16">
      <c r="A253" s="16" t="s">
        <v>272</v>
      </c>
      <c r="B253" s="16" t="s">
        <v>587</v>
      </c>
      <c r="C253" s="18" t="s">
        <v>12</v>
      </c>
      <c r="D253" s="18" t="s">
        <v>13</v>
      </c>
      <c r="E253" s="19">
        <v>11</v>
      </c>
      <c r="F253" s="20">
        <v>0.24793182639040465</v>
      </c>
      <c r="G253" s="21">
        <v>2.7272500902944512</v>
      </c>
      <c r="H253" s="19">
        <v>11</v>
      </c>
      <c r="I253" s="20">
        <v>0.24793182639040465</v>
      </c>
      <c r="J253" s="21">
        <v>2.7272500902944512</v>
      </c>
      <c r="K253" s="21">
        <v>0.51200000000000012</v>
      </c>
      <c r="L253" s="21">
        <v>1.3963520462307593</v>
      </c>
      <c r="M253" s="22" t="s">
        <v>18</v>
      </c>
      <c r="N253" s="22" t="s">
        <v>18</v>
      </c>
      <c r="O253" s="23">
        <v>1</v>
      </c>
      <c r="P253" s="20">
        <v>0.66099385502116459</v>
      </c>
    </row>
    <row r="254" spans="1:16">
      <c r="A254" s="16" t="s">
        <v>273</v>
      </c>
      <c r="B254" s="16"/>
      <c r="C254" s="18"/>
      <c r="D254" s="18"/>
      <c r="E254" s="19"/>
      <c r="F254" s="20"/>
      <c r="G254" s="21"/>
      <c r="H254" s="19"/>
      <c r="I254" s="20"/>
      <c r="J254" s="21"/>
      <c r="K254" s="21"/>
      <c r="L254" s="21"/>
      <c r="M254" s="22"/>
      <c r="N254" s="22"/>
      <c r="O254" s="23" t="s">
        <v>14</v>
      </c>
      <c r="P254" s="20"/>
    </row>
    <row r="255" spans="1:16">
      <c r="A255" s="16" t="s">
        <v>274</v>
      </c>
      <c r="B255" s="16" t="s">
        <v>587</v>
      </c>
      <c r="C255" s="18" t="s">
        <v>12</v>
      </c>
      <c r="D255" s="18" t="s">
        <v>13</v>
      </c>
      <c r="E255" s="19">
        <v>7</v>
      </c>
      <c r="F255" s="20">
        <v>0.30556476742862476</v>
      </c>
      <c r="G255" s="21">
        <v>2.1389533720003735</v>
      </c>
      <c r="H255" s="19">
        <v>7</v>
      </c>
      <c r="I255" s="20">
        <v>0.30556476742862476</v>
      </c>
      <c r="J255" s="21">
        <v>2.1389533720003735</v>
      </c>
      <c r="K255" s="21">
        <v>0.51200000000000012</v>
      </c>
      <c r="L255" s="21">
        <v>1.0951441264641915</v>
      </c>
      <c r="M255" s="22" t="s">
        <v>15</v>
      </c>
      <c r="N255" s="22" t="s">
        <v>16</v>
      </c>
      <c r="O255" s="23">
        <v>1</v>
      </c>
      <c r="P255" s="20">
        <v>0.54531827687277212</v>
      </c>
    </row>
    <row r="256" spans="1:16">
      <c r="A256" s="16" t="s">
        <v>275</v>
      </c>
      <c r="B256" s="16" t="s">
        <v>588</v>
      </c>
      <c r="C256" s="18" t="s">
        <v>20</v>
      </c>
      <c r="D256" s="18" t="s">
        <v>20</v>
      </c>
      <c r="E256" s="19">
        <v>15</v>
      </c>
      <c r="F256" s="20">
        <v>0.36169425598386251</v>
      </c>
      <c r="G256" s="21">
        <v>5.4254138397579377</v>
      </c>
      <c r="H256" s="19">
        <v>20</v>
      </c>
      <c r="I256" s="20">
        <v>0.33023848454792021</v>
      </c>
      <c r="J256" s="21">
        <v>6.6047696909584044</v>
      </c>
      <c r="K256" s="21">
        <v>0.51200000000000012</v>
      </c>
      <c r="L256" s="21">
        <v>3.3816420817707038</v>
      </c>
      <c r="M256" s="22" t="s">
        <v>18</v>
      </c>
      <c r="N256" s="22" t="s">
        <v>16</v>
      </c>
      <c r="O256" s="23">
        <v>0.4</v>
      </c>
      <c r="P256" s="20">
        <v>0.98620154747359667</v>
      </c>
    </row>
    <row r="257" spans="1:16">
      <c r="A257" s="16" t="s">
        <v>276</v>
      </c>
      <c r="B257" s="16" t="s">
        <v>587</v>
      </c>
      <c r="C257" s="18" t="s">
        <v>12</v>
      </c>
      <c r="D257" s="18" t="s">
        <v>13</v>
      </c>
      <c r="E257" s="19">
        <v>7</v>
      </c>
      <c r="F257" s="20">
        <v>0.30556476742862476</v>
      </c>
      <c r="G257" s="21">
        <v>2.1389533720003735</v>
      </c>
      <c r="H257" s="19">
        <v>7</v>
      </c>
      <c r="I257" s="20">
        <v>0.30556476742862476</v>
      </c>
      <c r="J257" s="21">
        <v>2.1389533720003735</v>
      </c>
      <c r="K257" s="21">
        <v>0.51200000000000012</v>
      </c>
      <c r="L257" s="21">
        <v>1.0951441264641915</v>
      </c>
      <c r="M257" s="22" t="s">
        <v>15</v>
      </c>
      <c r="N257" s="22" t="s">
        <v>16</v>
      </c>
      <c r="O257" s="23">
        <v>1</v>
      </c>
      <c r="P257" s="20">
        <v>0.54531827687277212</v>
      </c>
    </row>
    <row r="258" spans="1:16">
      <c r="A258" s="16" t="s">
        <v>277</v>
      </c>
      <c r="B258" s="16" t="s">
        <v>592</v>
      </c>
      <c r="C258" s="18" t="s">
        <v>20</v>
      </c>
      <c r="D258" s="18" t="s">
        <v>20</v>
      </c>
      <c r="E258" s="19">
        <v>5</v>
      </c>
      <c r="F258" s="20">
        <v>0.26956727787810369</v>
      </c>
      <c r="G258" s="21">
        <v>1.3478363893905185</v>
      </c>
      <c r="H258" s="19">
        <v>10</v>
      </c>
      <c r="I258" s="20">
        <v>0.25271922405909847</v>
      </c>
      <c r="J258" s="21">
        <v>2.5271922405909848</v>
      </c>
      <c r="K258" s="21">
        <v>0.51200000000000012</v>
      </c>
      <c r="L258" s="21">
        <v>1.2939224271825844</v>
      </c>
      <c r="M258" s="22" t="s">
        <v>15</v>
      </c>
      <c r="N258" s="22" t="s">
        <v>18</v>
      </c>
      <c r="O258" s="23">
        <v>2.5</v>
      </c>
      <c r="P258" s="20">
        <v>0.21128035643317278</v>
      </c>
    </row>
    <row r="259" spans="1:16">
      <c r="A259" s="16" t="s">
        <v>278</v>
      </c>
      <c r="B259" s="16" t="s">
        <v>592</v>
      </c>
      <c r="C259" s="18" t="s">
        <v>20</v>
      </c>
      <c r="D259" s="18" t="s">
        <v>20</v>
      </c>
      <c r="E259" s="19">
        <v>5</v>
      </c>
      <c r="F259" s="20">
        <v>0.26956727787810369</v>
      </c>
      <c r="G259" s="21">
        <v>1.3478363893905185</v>
      </c>
      <c r="H259" s="19">
        <v>10</v>
      </c>
      <c r="I259" s="20">
        <v>0.25271922405909847</v>
      </c>
      <c r="J259" s="21">
        <v>2.5271922405909848</v>
      </c>
      <c r="K259" s="21">
        <v>0.51200000000000012</v>
      </c>
      <c r="L259" s="21">
        <v>1.2939224271825844</v>
      </c>
      <c r="M259" s="22" t="s">
        <v>15</v>
      </c>
      <c r="N259" s="22" t="s">
        <v>18</v>
      </c>
      <c r="O259" s="23">
        <v>2.5</v>
      </c>
      <c r="P259" s="20">
        <v>0.21128035643317278</v>
      </c>
    </row>
    <row r="260" spans="1:16">
      <c r="A260" s="16" t="s">
        <v>279</v>
      </c>
      <c r="B260" s="16" t="s">
        <v>588</v>
      </c>
      <c r="C260" s="18" t="s">
        <v>20</v>
      </c>
      <c r="D260" s="18" t="s">
        <v>20</v>
      </c>
      <c r="E260" s="19">
        <v>13</v>
      </c>
      <c r="F260" s="20">
        <v>0.35156355635542774</v>
      </c>
      <c r="G260" s="21">
        <v>4.5703262326205607</v>
      </c>
      <c r="H260" s="19">
        <v>18</v>
      </c>
      <c r="I260" s="20">
        <v>0.31942678243450146</v>
      </c>
      <c r="J260" s="21">
        <v>5.7496820838210265</v>
      </c>
      <c r="K260" s="21">
        <v>0.51200000000000012</v>
      </c>
      <c r="L260" s="21">
        <v>2.9438372269163664</v>
      </c>
      <c r="M260" s="22" t="s">
        <v>22</v>
      </c>
      <c r="N260" s="22" t="s">
        <v>18</v>
      </c>
      <c r="O260" s="23">
        <v>0.5</v>
      </c>
      <c r="P260" s="20">
        <v>0.97196107898534068</v>
      </c>
    </row>
    <row r="261" spans="1:16">
      <c r="A261" s="16" t="s">
        <v>280</v>
      </c>
      <c r="B261" s="16" t="s">
        <v>592</v>
      </c>
      <c r="C261" s="18" t="s">
        <v>20</v>
      </c>
      <c r="D261" s="18" t="s">
        <v>20</v>
      </c>
      <c r="E261" s="19">
        <v>16</v>
      </c>
      <c r="F261" s="20">
        <v>0.35642579973332372</v>
      </c>
      <c r="G261" s="21">
        <v>5.7028127957331796</v>
      </c>
      <c r="H261" s="19">
        <v>21</v>
      </c>
      <c r="I261" s="20">
        <v>0.32772231652064981</v>
      </c>
      <c r="J261" s="21">
        <v>6.8821686469336463</v>
      </c>
      <c r="K261" s="21">
        <v>0.51200000000000012</v>
      </c>
      <c r="L261" s="21">
        <v>3.5236703472300279</v>
      </c>
      <c r="M261" s="22" t="s">
        <v>18</v>
      </c>
      <c r="N261" s="22" t="s">
        <v>18</v>
      </c>
      <c r="O261" s="23">
        <v>1</v>
      </c>
      <c r="P261" s="20">
        <v>0.92546353880086962</v>
      </c>
    </row>
    <row r="262" spans="1:16">
      <c r="A262" s="16" t="s">
        <v>281</v>
      </c>
      <c r="B262" s="16" t="s">
        <v>589</v>
      </c>
      <c r="C262" s="18" t="s">
        <v>20</v>
      </c>
      <c r="D262" s="18" t="s">
        <v>20</v>
      </c>
      <c r="E262" s="19">
        <v>16</v>
      </c>
      <c r="F262" s="20">
        <v>0.33108911426536169</v>
      </c>
      <c r="G262" s="21">
        <v>5.2974258282457871</v>
      </c>
      <c r="H262" s="19">
        <v>21</v>
      </c>
      <c r="I262" s="20">
        <v>0.30841817521172632</v>
      </c>
      <c r="J262" s="21">
        <v>6.4767816794462529</v>
      </c>
      <c r="K262" s="21">
        <v>0.51200000000000012</v>
      </c>
      <c r="L262" s="21">
        <v>3.3161122198764823</v>
      </c>
      <c r="M262" s="22" t="s">
        <v>18</v>
      </c>
      <c r="N262" s="22" t="s">
        <v>18</v>
      </c>
      <c r="O262" s="23">
        <v>1</v>
      </c>
      <c r="P262" s="20">
        <v>0.91664305063439044</v>
      </c>
    </row>
    <row r="263" spans="1:16">
      <c r="A263" s="16" t="s">
        <v>282</v>
      </c>
      <c r="B263" s="16" t="s">
        <v>598</v>
      </c>
      <c r="C263" s="18" t="s">
        <v>20</v>
      </c>
      <c r="D263" s="18" t="s">
        <v>20</v>
      </c>
      <c r="E263" s="19"/>
      <c r="F263" s="20"/>
      <c r="G263" s="21"/>
      <c r="H263" s="19"/>
      <c r="I263" s="20"/>
      <c r="J263" s="21"/>
      <c r="K263" s="21"/>
      <c r="L263" s="21"/>
      <c r="M263" s="22"/>
      <c r="N263" s="22"/>
      <c r="O263" s="23" t="s">
        <v>14</v>
      </c>
      <c r="P263" s="20"/>
    </row>
    <row r="264" spans="1:16">
      <c r="A264" s="16" t="s">
        <v>283</v>
      </c>
      <c r="B264" s="16" t="s">
        <v>598</v>
      </c>
      <c r="C264" s="18" t="s">
        <v>20</v>
      </c>
      <c r="D264" s="18" t="s">
        <v>20</v>
      </c>
      <c r="E264" s="19">
        <v>5</v>
      </c>
      <c r="F264" s="20">
        <v>0.34371940383560867</v>
      </c>
      <c r="G264" s="21">
        <v>1.7185970191780433</v>
      </c>
      <c r="H264" s="19">
        <v>10</v>
      </c>
      <c r="I264" s="20">
        <v>0.28979528703785096</v>
      </c>
      <c r="J264" s="21">
        <v>2.8979528703785098</v>
      </c>
      <c r="K264" s="21">
        <v>0.51200000000000012</v>
      </c>
      <c r="L264" s="21">
        <v>1.4837518696337975</v>
      </c>
      <c r="M264" s="22" t="s">
        <v>15</v>
      </c>
      <c r="N264" s="22" t="s">
        <v>18</v>
      </c>
      <c r="O264" s="23">
        <v>2.5</v>
      </c>
      <c r="P264" s="20">
        <v>0.26048802015080585</v>
      </c>
    </row>
    <row r="265" spans="1:16">
      <c r="A265" s="16" t="s">
        <v>284</v>
      </c>
      <c r="B265" s="16" t="s">
        <v>598</v>
      </c>
      <c r="C265" s="18" t="s">
        <v>20</v>
      </c>
      <c r="D265" s="18" t="s">
        <v>20</v>
      </c>
      <c r="E265" s="19">
        <v>7</v>
      </c>
      <c r="F265" s="20">
        <v>0.30691321320579379</v>
      </c>
      <c r="G265" s="21">
        <v>2.1483924924405566</v>
      </c>
      <c r="H265" s="19">
        <v>12</v>
      </c>
      <c r="I265" s="20">
        <v>0.27731236197008524</v>
      </c>
      <c r="J265" s="21">
        <v>3.3277483436410229</v>
      </c>
      <c r="K265" s="21">
        <v>0.51200000000000012</v>
      </c>
      <c r="L265" s="21">
        <v>1.7038071519442042</v>
      </c>
      <c r="M265" s="22" t="s">
        <v>18</v>
      </c>
      <c r="N265" s="22" t="s">
        <v>16</v>
      </c>
      <c r="O265" s="23">
        <v>0.4</v>
      </c>
      <c r="P265" s="20">
        <v>0.94776292798174588</v>
      </c>
    </row>
    <row r="266" spans="1:16">
      <c r="A266" s="16" t="s">
        <v>285</v>
      </c>
      <c r="B266" s="16" t="s">
        <v>593</v>
      </c>
      <c r="C266" s="18" t="s">
        <v>20</v>
      </c>
      <c r="D266" s="18" t="s">
        <v>20</v>
      </c>
      <c r="E266" s="19"/>
      <c r="F266" s="20"/>
      <c r="G266" s="21"/>
      <c r="H266" s="19"/>
      <c r="I266" s="20"/>
      <c r="J266" s="21"/>
      <c r="K266" s="21"/>
      <c r="L266" s="21"/>
      <c r="M266" s="22"/>
      <c r="N266" s="22"/>
      <c r="O266" s="23" t="s">
        <v>14</v>
      </c>
      <c r="P266" s="20"/>
    </row>
    <row r="267" spans="1:16">
      <c r="A267" s="16" t="s">
        <v>286</v>
      </c>
      <c r="B267" s="16" t="s">
        <v>593</v>
      </c>
      <c r="C267" s="18" t="s">
        <v>20</v>
      </c>
      <c r="D267" s="18" t="s">
        <v>20</v>
      </c>
      <c r="E267" s="19">
        <v>20</v>
      </c>
      <c r="F267" s="20">
        <v>0.33262801945696496</v>
      </c>
      <c r="G267" s="21">
        <v>6.6525603891392997</v>
      </c>
      <c r="H267" s="19">
        <v>25</v>
      </c>
      <c r="I267" s="20">
        <v>0.31327664961359064</v>
      </c>
      <c r="J267" s="21">
        <v>7.8319162403397664</v>
      </c>
      <c r="K267" s="21">
        <v>0.51200000000000012</v>
      </c>
      <c r="L267" s="21">
        <v>4.0099411150539614</v>
      </c>
      <c r="M267" s="22" t="s">
        <v>18</v>
      </c>
      <c r="N267" s="22" t="s">
        <v>18</v>
      </c>
      <c r="O267" s="23">
        <v>1</v>
      </c>
      <c r="P267" s="20">
        <v>0.94145071456709728</v>
      </c>
    </row>
    <row r="268" spans="1:16">
      <c r="A268" s="16" t="s">
        <v>287</v>
      </c>
      <c r="B268" s="16" t="s">
        <v>588</v>
      </c>
      <c r="C268" s="18" t="s">
        <v>20</v>
      </c>
      <c r="D268" s="18" t="s">
        <v>20</v>
      </c>
      <c r="E268" s="19">
        <v>8</v>
      </c>
      <c r="F268" s="20">
        <v>0.31157384149055511</v>
      </c>
      <c r="G268" s="21">
        <v>2.4925907319244409</v>
      </c>
      <c r="H268" s="19">
        <v>13</v>
      </c>
      <c r="I268" s="20">
        <v>0.28245742947114671</v>
      </c>
      <c r="J268" s="21">
        <v>3.6719465831249072</v>
      </c>
      <c r="K268" s="21">
        <v>0.51200000000000012</v>
      </c>
      <c r="L268" s="21">
        <v>1.8800366505599528</v>
      </c>
      <c r="M268" s="22" t="s">
        <v>18</v>
      </c>
      <c r="N268" s="22" t="s">
        <v>18</v>
      </c>
      <c r="O268" s="23">
        <v>1</v>
      </c>
      <c r="P268" s="20">
        <v>0.77947035784830299</v>
      </c>
    </row>
    <row r="269" spans="1:16">
      <c r="A269" s="16" t="s">
        <v>288</v>
      </c>
      <c r="B269" s="16" t="s">
        <v>593</v>
      </c>
      <c r="C269" s="18" t="s">
        <v>20</v>
      </c>
      <c r="D269" s="18" t="s">
        <v>20</v>
      </c>
      <c r="E269" s="19">
        <v>20</v>
      </c>
      <c r="F269" s="20">
        <v>0.32209939474243221</v>
      </c>
      <c r="G269" s="21">
        <v>6.4419878948486442</v>
      </c>
      <c r="H269" s="19">
        <v>25</v>
      </c>
      <c r="I269" s="20">
        <v>0.30485374984196439</v>
      </c>
      <c r="J269" s="21">
        <v>7.62134374604911</v>
      </c>
      <c r="K269" s="21">
        <v>0.51200000000000012</v>
      </c>
      <c r="L269" s="21">
        <v>3.902127997977145</v>
      </c>
      <c r="M269" s="22" t="s">
        <v>18</v>
      </c>
      <c r="N269" s="22" t="s">
        <v>46</v>
      </c>
      <c r="O269" s="23">
        <v>2</v>
      </c>
      <c r="P269" s="20">
        <v>0.79195492733772377</v>
      </c>
    </row>
    <row r="270" spans="1:16">
      <c r="A270" s="16" t="s">
        <v>289</v>
      </c>
      <c r="B270" s="16" t="s">
        <v>592</v>
      </c>
      <c r="C270" s="18" t="s">
        <v>12</v>
      </c>
      <c r="D270" s="18" t="s">
        <v>13</v>
      </c>
      <c r="E270" s="19">
        <v>17</v>
      </c>
      <c r="F270" s="20">
        <v>0.26543541692528677</v>
      </c>
      <c r="G270" s="21">
        <v>4.5124020877298747</v>
      </c>
      <c r="H270" s="19">
        <v>17</v>
      </c>
      <c r="I270" s="20">
        <v>0.26543541692528677</v>
      </c>
      <c r="J270" s="21">
        <v>4.5124020877298747</v>
      </c>
      <c r="K270" s="21">
        <v>0.51200000000000012</v>
      </c>
      <c r="L270" s="21">
        <v>2.3103498689176964</v>
      </c>
      <c r="M270" s="22" t="s">
        <v>18</v>
      </c>
      <c r="N270" s="22" t="s">
        <v>18</v>
      </c>
      <c r="O270" s="23">
        <v>1</v>
      </c>
      <c r="P270" s="20">
        <v>0.84221446362456609</v>
      </c>
    </row>
    <row r="271" spans="1:16">
      <c r="A271" s="16" t="s">
        <v>290</v>
      </c>
      <c r="B271" s="16" t="s">
        <v>599</v>
      </c>
      <c r="C271" s="18" t="s">
        <v>20</v>
      </c>
      <c r="D271" s="18" t="s">
        <v>20</v>
      </c>
      <c r="E271" s="19"/>
      <c r="F271" s="20"/>
      <c r="G271" s="21"/>
      <c r="H271" s="19"/>
      <c r="I271" s="20"/>
      <c r="J271" s="21"/>
      <c r="K271" s="21"/>
      <c r="L271" s="21"/>
      <c r="M271" s="22"/>
      <c r="N271" s="22"/>
      <c r="O271" s="23" t="s">
        <v>14</v>
      </c>
      <c r="P271" s="20"/>
    </row>
    <row r="272" spans="1:16">
      <c r="A272" s="16" t="s">
        <v>291</v>
      </c>
      <c r="B272" s="16" t="s">
        <v>587</v>
      </c>
      <c r="C272" s="18" t="s">
        <v>12</v>
      </c>
      <c r="D272" s="18" t="s">
        <v>27</v>
      </c>
      <c r="E272" s="19">
        <v>14</v>
      </c>
      <c r="F272" s="20">
        <v>0.30279089941793008</v>
      </c>
      <c r="G272" s="21">
        <v>4.2390725918510208</v>
      </c>
      <c r="H272" s="19">
        <v>14</v>
      </c>
      <c r="I272" s="20">
        <v>0.30279089941793008</v>
      </c>
      <c r="J272" s="21">
        <v>4.2390725918510208</v>
      </c>
      <c r="K272" s="21">
        <v>0.51200000000000012</v>
      </c>
      <c r="L272" s="21">
        <v>2.1704051670277233</v>
      </c>
      <c r="M272" s="22" t="s">
        <v>22</v>
      </c>
      <c r="N272" s="22" t="s">
        <v>16</v>
      </c>
      <c r="O272" s="23">
        <v>0.2</v>
      </c>
      <c r="P272" s="20">
        <v>0.99158011478827202</v>
      </c>
    </row>
    <row r="273" spans="1:16">
      <c r="A273" s="16" t="s">
        <v>292</v>
      </c>
      <c r="B273" s="16" t="s">
        <v>599</v>
      </c>
      <c r="C273" s="18" t="s">
        <v>20</v>
      </c>
      <c r="D273" s="18" t="s">
        <v>20</v>
      </c>
      <c r="E273" s="19">
        <v>11</v>
      </c>
      <c r="F273" s="20">
        <v>0.33122233852979094</v>
      </c>
      <c r="G273" s="21">
        <v>3.6434457238277003</v>
      </c>
      <c r="H273" s="19">
        <v>17</v>
      </c>
      <c r="I273" s="20">
        <v>0.30150543967329979</v>
      </c>
      <c r="J273" s="21">
        <v>5.1255924744460968</v>
      </c>
      <c r="K273" s="21">
        <v>0.51200000000000012</v>
      </c>
      <c r="L273" s="21">
        <v>2.6243033469164021</v>
      </c>
      <c r="M273" s="22" t="s">
        <v>18</v>
      </c>
      <c r="N273" s="22" t="s">
        <v>18</v>
      </c>
      <c r="O273" s="23">
        <v>1</v>
      </c>
      <c r="P273" s="20">
        <v>0.87320856470839481</v>
      </c>
    </row>
    <row r="274" spans="1:16">
      <c r="A274" s="16" t="s">
        <v>293</v>
      </c>
      <c r="B274" s="16" t="s">
        <v>592</v>
      </c>
      <c r="C274" s="18" t="s">
        <v>12</v>
      </c>
      <c r="D274" s="18" t="s">
        <v>13</v>
      </c>
      <c r="E274" s="19"/>
      <c r="F274" s="20"/>
      <c r="G274" s="21"/>
      <c r="H274" s="19"/>
      <c r="I274" s="20"/>
      <c r="J274" s="21"/>
      <c r="K274" s="21"/>
      <c r="L274" s="21"/>
      <c r="M274" s="22"/>
      <c r="N274" s="22"/>
      <c r="O274" s="23" t="s">
        <v>14</v>
      </c>
      <c r="P274" s="20"/>
    </row>
    <row r="275" spans="1:16">
      <c r="A275" s="16" t="s">
        <v>294</v>
      </c>
      <c r="B275" s="16" t="s">
        <v>587</v>
      </c>
      <c r="C275" s="18" t="s">
        <v>12</v>
      </c>
      <c r="D275" s="18" t="s">
        <v>13</v>
      </c>
      <c r="E275" s="19">
        <v>14</v>
      </c>
      <c r="F275" s="20">
        <v>0.30279089941793008</v>
      </c>
      <c r="G275" s="21">
        <v>4.2390725918510208</v>
      </c>
      <c r="H275" s="19">
        <v>14</v>
      </c>
      <c r="I275" s="20">
        <v>0.30279089941793008</v>
      </c>
      <c r="J275" s="21">
        <v>4.2390725918510208</v>
      </c>
      <c r="K275" s="21">
        <v>0.51200000000000012</v>
      </c>
      <c r="L275" s="21">
        <v>2.1704051670277233</v>
      </c>
      <c r="M275" s="22" t="s">
        <v>22</v>
      </c>
      <c r="N275" s="22" t="s">
        <v>16</v>
      </c>
      <c r="O275" s="23">
        <v>0.2</v>
      </c>
      <c r="P275" s="20">
        <v>0.99158011478827202</v>
      </c>
    </row>
    <row r="276" spans="1:16">
      <c r="A276" s="16" t="s">
        <v>295</v>
      </c>
      <c r="B276" s="16" t="s">
        <v>588</v>
      </c>
      <c r="C276" s="18" t="s">
        <v>20</v>
      </c>
      <c r="D276" s="18" t="s">
        <v>20</v>
      </c>
      <c r="E276" s="19">
        <v>15</v>
      </c>
      <c r="F276" s="20">
        <v>0.3188297687049198</v>
      </c>
      <c r="G276" s="21">
        <v>4.7824465305737967</v>
      </c>
      <c r="H276" s="19">
        <v>20</v>
      </c>
      <c r="I276" s="20">
        <v>0.29809011908871313</v>
      </c>
      <c r="J276" s="21">
        <v>5.9618023817742625</v>
      </c>
      <c r="K276" s="21">
        <v>0.51200000000000012</v>
      </c>
      <c r="L276" s="21">
        <v>3.052442819468423</v>
      </c>
      <c r="M276" s="22" t="s">
        <v>18</v>
      </c>
      <c r="N276" s="22" t="s">
        <v>18</v>
      </c>
      <c r="O276" s="23">
        <v>1</v>
      </c>
      <c r="P276" s="20">
        <v>0.9030764237662976</v>
      </c>
    </row>
    <row r="277" spans="1:16">
      <c r="A277" s="16" t="s">
        <v>296</v>
      </c>
      <c r="B277" s="16" t="s">
        <v>598</v>
      </c>
      <c r="C277" s="18" t="s">
        <v>20</v>
      </c>
      <c r="D277" s="18" t="s">
        <v>20</v>
      </c>
      <c r="E277" s="19">
        <v>14</v>
      </c>
      <c r="F277" s="20">
        <v>0.31200075330141991</v>
      </c>
      <c r="G277" s="21">
        <v>4.3680105462198791</v>
      </c>
      <c r="H277" s="19">
        <v>19</v>
      </c>
      <c r="I277" s="20">
        <v>0.29196665249580767</v>
      </c>
      <c r="J277" s="21">
        <v>5.5473663974203458</v>
      </c>
      <c r="K277" s="21">
        <v>0.51200000000000012</v>
      </c>
      <c r="L277" s="21">
        <v>2.8402515954792178</v>
      </c>
      <c r="M277" s="22" t="s">
        <v>22</v>
      </c>
      <c r="N277" s="22" t="s">
        <v>18</v>
      </c>
      <c r="O277" s="23">
        <v>0.5</v>
      </c>
      <c r="P277" s="20">
        <v>0.96994118978977406</v>
      </c>
    </row>
    <row r="278" spans="1:16">
      <c r="A278" s="16" t="s">
        <v>297</v>
      </c>
      <c r="B278" s="16" t="s">
        <v>592</v>
      </c>
      <c r="C278" s="18" t="s">
        <v>20</v>
      </c>
      <c r="D278" s="18" t="s">
        <v>20</v>
      </c>
      <c r="E278" s="19"/>
      <c r="F278" s="20"/>
      <c r="G278" s="21"/>
      <c r="H278" s="19"/>
      <c r="I278" s="20"/>
      <c r="J278" s="21"/>
      <c r="K278" s="21"/>
      <c r="L278" s="21"/>
      <c r="M278" s="22"/>
      <c r="N278" s="22"/>
      <c r="O278" s="23" t="s">
        <v>14</v>
      </c>
      <c r="P278" s="20"/>
    </row>
    <row r="279" spans="1:16">
      <c r="A279" s="16" t="s">
        <v>298</v>
      </c>
      <c r="B279" s="16" t="s">
        <v>603</v>
      </c>
      <c r="C279" s="18" t="s">
        <v>12</v>
      </c>
      <c r="D279" s="18" t="s">
        <v>27</v>
      </c>
      <c r="E279" s="19">
        <v>13</v>
      </c>
      <c r="F279" s="20">
        <v>0.26124152355709457</v>
      </c>
      <c r="G279" s="21">
        <v>3.3961398062422292</v>
      </c>
      <c r="H279" s="19">
        <v>13</v>
      </c>
      <c r="I279" s="20">
        <v>0.26124152355709457</v>
      </c>
      <c r="J279" s="21">
        <v>3.3961398062422292</v>
      </c>
      <c r="K279" s="21">
        <v>0.51200000000000012</v>
      </c>
      <c r="L279" s="21">
        <v>1.7388235807960217</v>
      </c>
      <c r="M279" s="22" t="s">
        <v>15</v>
      </c>
      <c r="N279" s="22" t="s">
        <v>16</v>
      </c>
      <c r="O279" s="23">
        <v>1</v>
      </c>
      <c r="P279" s="20">
        <v>0.75146063139268804</v>
      </c>
    </row>
    <row r="280" spans="1:16">
      <c r="A280" s="16" t="s">
        <v>299</v>
      </c>
      <c r="B280" s="16" t="s">
        <v>593</v>
      </c>
      <c r="C280" s="18" t="s">
        <v>20</v>
      </c>
      <c r="D280" s="18" t="s">
        <v>20</v>
      </c>
      <c r="E280" s="19">
        <v>18</v>
      </c>
      <c r="F280" s="20">
        <v>0.31865172406975506</v>
      </c>
      <c r="G280" s="21">
        <v>5.7357310332555915</v>
      </c>
      <c r="H280" s="19">
        <v>25</v>
      </c>
      <c r="I280" s="20">
        <v>0.29854934091798468</v>
      </c>
      <c r="J280" s="21">
        <v>7.4637335229496173</v>
      </c>
      <c r="K280" s="21">
        <v>0.51200000000000012</v>
      </c>
      <c r="L280" s="21">
        <v>3.8214315637502052</v>
      </c>
      <c r="M280" s="22" t="s">
        <v>15</v>
      </c>
      <c r="N280" s="22" t="s">
        <v>16</v>
      </c>
      <c r="O280" s="23">
        <v>1</v>
      </c>
      <c r="P280" s="20">
        <v>0.93591115418236681</v>
      </c>
    </row>
    <row r="281" spans="1:16">
      <c r="A281" s="16" t="s">
        <v>300</v>
      </c>
      <c r="B281" s="16" t="s">
        <v>603</v>
      </c>
      <c r="C281" s="18" t="s">
        <v>12</v>
      </c>
      <c r="D281" s="18" t="s">
        <v>27</v>
      </c>
      <c r="E281" s="19">
        <v>20</v>
      </c>
      <c r="F281" s="20">
        <v>0.28740511493646503</v>
      </c>
      <c r="G281" s="21">
        <v>5.7481022987293002</v>
      </c>
      <c r="H281" s="19">
        <v>20</v>
      </c>
      <c r="I281" s="20">
        <v>0.28740511493646503</v>
      </c>
      <c r="J281" s="21">
        <v>5.7481022987293002</v>
      </c>
      <c r="K281" s="21">
        <v>0.51200000000000012</v>
      </c>
      <c r="L281" s="21">
        <v>2.9430283769494023</v>
      </c>
      <c r="M281" s="22" t="s">
        <v>15</v>
      </c>
      <c r="N281" s="22" t="s">
        <v>16</v>
      </c>
      <c r="O281" s="23">
        <v>1</v>
      </c>
      <c r="P281" s="20">
        <v>0.8964955036455754</v>
      </c>
    </row>
    <row r="282" spans="1:16">
      <c r="A282" s="16" t="s">
        <v>301</v>
      </c>
      <c r="B282" s="16"/>
      <c r="C282" s="18"/>
      <c r="D282" s="18"/>
      <c r="E282" s="19"/>
      <c r="F282" s="20"/>
      <c r="G282" s="21"/>
      <c r="H282" s="19"/>
      <c r="I282" s="20"/>
      <c r="J282" s="21"/>
      <c r="K282" s="21"/>
      <c r="L282" s="21"/>
      <c r="M282" s="22"/>
      <c r="N282" s="22"/>
      <c r="O282" s="23" t="s">
        <v>14</v>
      </c>
      <c r="P282" s="20"/>
    </row>
    <row r="283" spans="1:16">
      <c r="A283" s="16" t="s">
        <v>302</v>
      </c>
      <c r="B283" s="16" t="s">
        <v>587</v>
      </c>
      <c r="C283" s="18" t="s">
        <v>12</v>
      </c>
      <c r="D283" s="18" t="s">
        <v>13</v>
      </c>
      <c r="E283" s="19">
        <v>7</v>
      </c>
      <c r="F283" s="20">
        <v>0.30556476742862476</v>
      </c>
      <c r="G283" s="21">
        <v>2.1389533720003735</v>
      </c>
      <c r="H283" s="19">
        <v>7</v>
      </c>
      <c r="I283" s="20">
        <v>0.30556476742862476</v>
      </c>
      <c r="J283" s="21">
        <v>2.1389533720003735</v>
      </c>
      <c r="K283" s="21">
        <v>0.51200000000000012</v>
      </c>
      <c r="L283" s="21">
        <v>1.0951441264641915</v>
      </c>
      <c r="M283" s="22" t="s">
        <v>15</v>
      </c>
      <c r="N283" s="22" t="s">
        <v>16</v>
      </c>
      <c r="O283" s="23">
        <v>1</v>
      </c>
      <c r="P283" s="20">
        <v>0.54531827687277212</v>
      </c>
    </row>
    <row r="284" spans="1:16">
      <c r="A284" s="16" t="s">
        <v>303</v>
      </c>
      <c r="B284" s="16" t="s">
        <v>588</v>
      </c>
      <c r="C284" s="18" t="s">
        <v>20</v>
      </c>
      <c r="D284" s="18" t="s">
        <v>20</v>
      </c>
      <c r="E284" s="19">
        <v>15</v>
      </c>
      <c r="F284" s="20">
        <v>0.36169425598386251</v>
      </c>
      <c r="G284" s="21">
        <v>5.4254138397579377</v>
      </c>
      <c r="H284" s="19">
        <v>16</v>
      </c>
      <c r="I284" s="20">
        <v>0.35818616294916017</v>
      </c>
      <c r="J284" s="21">
        <v>5.7309786071865627</v>
      </c>
      <c r="K284" s="21">
        <v>0.51200000000000012</v>
      </c>
      <c r="L284" s="21">
        <v>2.9342610468795209</v>
      </c>
      <c r="M284" s="22" t="s">
        <v>18</v>
      </c>
      <c r="N284" s="22" t="s">
        <v>16</v>
      </c>
      <c r="O284" s="23">
        <v>0.4</v>
      </c>
      <c r="P284" s="20">
        <v>0.98175575309692154</v>
      </c>
    </row>
    <row r="285" spans="1:16">
      <c r="A285" s="16" t="s">
        <v>304</v>
      </c>
      <c r="B285" s="16" t="s">
        <v>588</v>
      </c>
      <c r="C285" s="18" t="s">
        <v>20</v>
      </c>
      <c r="D285" s="18" t="s">
        <v>20</v>
      </c>
      <c r="E285" s="19">
        <v>8</v>
      </c>
      <c r="F285" s="20">
        <v>0.30061488225360555</v>
      </c>
      <c r="G285" s="21">
        <v>2.4049190580288444</v>
      </c>
      <c r="H285" s="19">
        <v>9</v>
      </c>
      <c r="I285" s="20">
        <v>0.30116486949527432</v>
      </c>
      <c r="J285" s="21">
        <v>2.710483825457469</v>
      </c>
      <c r="K285" s="21">
        <v>0.51200000000000012</v>
      </c>
      <c r="L285" s="21">
        <v>1.3877677186342245</v>
      </c>
      <c r="M285" s="22" t="s">
        <v>18</v>
      </c>
      <c r="N285" s="22" t="s">
        <v>16</v>
      </c>
      <c r="O285" s="23">
        <v>0.4</v>
      </c>
      <c r="P285" s="20">
        <v>0.92329447325928804</v>
      </c>
    </row>
    <row r="286" spans="1:16">
      <c r="A286" s="16" t="s">
        <v>305</v>
      </c>
      <c r="B286" s="16" t="s">
        <v>588</v>
      </c>
      <c r="C286" s="18" t="s">
        <v>20</v>
      </c>
      <c r="D286" s="18" t="s">
        <v>20</v>
      </c>
      <c r="E286" s="19"/>
      <c r="F286" s="20"/>
      <c r="G286" s="21"/>
      <c r="H286" s="19"/>
      <c r="I286" s="20"/>
      <c r="J286" s="21"/>
      <c r="K286" s="21"/>
      <c r="L286" s="21"/>
      <c r="M286" s="22"/>
      <c r="N286" s="22"/>
      <c r="O286" s="23" t="s">
        <v>14</v>
      </c>
      <c r="P286" s="20"/>
    </row>
    <row r="287" spans="1:16">
      <c r="A287" s="16" t="s">
        <v>306</v>
      </c>
      <c r="B287" s="16" t="s">
        <v>588</v>
      </c>
      <c r="C287" s="18" t="s">
        <v>20</v>
      </c>
      <c r="D287" s="18" t="s">
        <v>20</v>
      </c>
      <c r="E287" s="19">
        <v>10</v>
      </c>
      <c r="F287" s="20">
        <v>0.27653516407223427</v>
      </c>
      <c r="G287" s="21">
        <v>2.7653516407223426</v>
      </c>
      <c r="H287" s="19">
        <v>11</v>
      </c>
      <c r="I287" s="20">
        <v>0.27917421892281519</v>
      </c>
      <c r="J287" s="21">
        <v>3.0709164081509672</v>
      </c>
      <c r="K287" s="21">
        <v>0.51200000000000012</v>
      </c>
      <c r="L287" s="21">
        <v>1.5723092009732955</v>
      </c>
      <c r="M287" s="22" t="s">
        <v>22</v>
      </c>
      <c r="N287" s="22" t="s">
        <v>18</v>
      </c>
      <c r="O287" s="23">
        <v>0.5</v>
      </c>
      <c r="P287" s="20">
        <v>0.90816103872181442</v>
      </c>
    </row>
    <row r="288" spans="1:16">
      <c r="A288" s="16" t="s">
        <v>307</v>
      </c>
      <c r="B288" s="16" t="s">
        <v>588</v>
      </c>
      <c r="C288" s="18" t="s">
        <v>20</v>
      </c>
      <c r="D288" s="18" t="s">
        <v>20</v>
      </c>
      <c r="E288" s="19">
        <v>10</v>
      </c>
      <c r="F288" s="20">
        <v>0.27653516407223427</v>
      </c>
      <c r="G288" s="21">
        <v>2.7653516407223426</v>
      </c>
      <c r="H288" s="19">
        <v>11</v>
      </c>
      <c r="I288" s="20">
        <v>0.27917421892281519</v>
      </c>
      <c r="J288" s="21">
        <v>3.0709164081509672</v>
      </c>
      <c r="K288" s="21">
        <v>0.51200000000000012</v>
      </c>
      <c r="L288" s="21">
        <v>1.5723092009732955</v>
      </c>
      <c r="M288" s="22" t="s">
        <v>22</v>
      </c>
      <c r="N288" s="22" t="s">
        <v>18</v>
      </c>
      <c r="O288" s="23">
        <v>0.5</v>
      </c>
      <c r="P288" s="20">
        <v>0.90816103872181442</v>
      </c>
    </row>
    <row r="289" spans="1:16">
      <c r="A289" s="16" t="s">
        <v>308</v>
      </c>
      <c r="B289" s="16" t="s">
        <v>588</v>
      </c>
      <c r="C289" s="18" t="s">
        <v>20</v>
      </c>
      <c r="D289" s="18" t="s">
        <v>20</v>
      </c>
      <c r="E289" s="19">
        <v>10</v>
      </c>
      <c r="F289" s="20">
        <v>0.2556947152871803</v>
      </c>
      <c r="G289" s="21">
        <v>2.5569471528718029</v>
      </c>
      <c r="H289" s="19">
        <v>11</v>
      </c>
      <c r="I289" s="20">
        <v>0.26022835639094793</v>
      </c>
      <c r="J289" s="21">
        <v>2.8625119203004274</v>
      </c>
      <c r="K289" s="21">
        <v>0.51200000000000012</v>
      </c>
      <c r="L289" s="21">
        <v>1.4656061031938192</v>
      </c>
      <c r="M289" s="22" t="s">
        <v>22</v>
      </c>
      <c r="N289" s="22" t="s">
        <v>16</v>
      </c>
      <c r="O289" s="23">
        <v>0.2</v>
      </c>
      <c r="P289" s="20">
        <v>0.98171847479285601</v>
      </c>
    </row>
    <row r="290" spans="1:16">
      <c r="A290" s="16" t="s">
        <v>309</v>
      </c>
      <c r="B290" s="16" t="s">
        <v>588</v>
      </c>
      <c r="C290" s="18" t="s">
        <v>20</v>
      </c>
      <c r="D290" s="18" t="s">
        <v>20</v>
      </c>
      <c r="E290" s="19">
        <v>9</v>
      </c>
      <c r="F290" s="20">
        <v>0.27024701165122361</v>
      </c>
      <c r="G290" s="21">
        <v>2.4322231048610123</v>
      </c>
      <c r="H290" s="19">
        <v>10</v>
      </c>
      <c r="I290" s="20">
        <v>0.2737787872289637</v>
      </c>
      <c r="J290" s="21">
        <v>2.7377878722896369</v>
      </c>
      <c r="K290" s="21">
        <v>0.51200000000000012</v>
      </c>
      <c r="L290" s="21">
        <v>1.4017473906122944</v>
      </c>
      <c r="M290" s="22" t="s">
        <v>22</v>
      </c>
      <c r="N290" s="22" t="s">
        <v>16</v>
      </c>
      <c r="O290" s="23">
        <v>0.2</v>
      </c>
      <c r="P290" s="20">
        <v>0.98004883792182707</v>
      </c>
    </row>
    <row r="291" spans="1:16">
      <c r="A291" s="16" t="s">
        <v>310</v>
      </c>
      <c r="B291" s="16" t="s">
        <v>605</v>
      </c>
      <c r="C291" s="18" t="s">
        <v>20</v>
      </c>
      <c r="D291" s="18" t="s">
        <v>20</v>
      </c>
      <c r="E291" s="19">
        <v>15</v>
      </c>
      <c r="F291" s="20">
        <v>0.26683415550728751</v>
      </c>
      <c r="G291" s="21">
        <v>4.0025123326093128</v>
      </c>
      <c r="H291" s="19">
        <v>16</v>
      </c>
      <c r="I291" s="20">
        <v>0.26925481875237112</v>
      </c>
      <c r="J291" s="21">
        <v>4.3080771000379379</v>
      </c>
      <c r="K291" s="21">
        <v>0.51200000000000012</v>
      </c>
      <c r="L291" s="21">
        <v>2.2057354752194249</v>
      </c>
      <c r="M291" s="22" t="s">
        <v>22</v>
      </c>
      <c r="N291" s="22" t="s">
        <v>18</v>
      </c>
      <c r="O291" s="23">
        <v>0.5</v>
      </c>
      <c r="P291" s="20">
        <v>0.95112671481150346</v>
      </c>
    </row>
    <row r="292" spans="1:16">
      <c r="A292" s="16" t="s">
        <v>311</v>
      </c>
      <c r="B292" s="16" t="s">
        <v>607</v>
      </c>
      <c r="C292" s="18" t="s">
        <v>20</v>
      </c>
      <c r="D292" s="18" t="s">
        <v>20</v>
      </c>
      <c r="E292" s="19">
        <v>9</v>
      </c>
      <c r="F292" s="20">
        <v>0.30255263438788699</v>
      </c>
      <c r="G292" s="21">
        <v>2.7229737094909829</v>
      </c>
      <c r="H292" s="19">
        <v>10</v>
      </c>
      <c r="I292" s="20">
        <v>0.30285384769196078</v>
      </c>
      <c r="J292" s="21">
        <v>3.028538476919608</v>
      </c>
      <c r="K292" s="21">
        <v>0.51200000000000012</v>
      </c>
      <c r="L292" s="21">
        <v>1.5506117001828397</v>
      </c>
      <c r="M292" s="22" t="s">
        <v>22</v>
      </c>
      <c r="N292" s="22" t="s">
        <v>18</v>
      </c>
      <c r="O292" s="23">
        <v>0.5</v>
      </c>
      <c r="P292" s="20">
        <v>0.90581663803145784</v>
      </c>
    </row>
    <row r="293" spans="1:16">
      <c r="A293" s="16" t="s">
        <v>312</v>
      </c>
      <c r="B293" s="16" t="s">
        <v>596</v>
      </c>
      <c r="C293" s="18" t="s">
        <v>20</v>
      </c>
      <c r="D293" s="18" t="s">
        <v>20</v>
      </c>
      <c r="E293" s="19">
        <v>9</v>
      </c>
      <c r="F293" s="20">
        <v>0.32713040810705685</v>
      </c>
      <c r="G293" s="21">
        <v>2.9441736729635117</v>
      </c>
      <c r="H293" s="19">
        <v>10</v>
      </c>
      <c r="I293" s="20">
        <v>0.32497384403921364</v>
      </c>
      <c r="J293" s="21">
        <v>3.2497384403921363</v>
      </c>
      <c r="K293" s="21">
        <v>0.51200000000000012</v>
      </c>
      <c r="L293" s="21">
        <v>1.6638660814807742</v>
      </c>
      <c r="M293" s="22" t="s">
        <v>18</v>
      </c>
      <c r="N293" s="22" t="s">
        <v>18</v>
      </c>
      <c r="O293" s="23">
        <v>1</v>
      </c>
      <c r="P293" s="20">
        <v>0.73463893363419852</v>
      </c>
    </row>
    <row r="294" spans="1:16">
      <c r="A294" s="16" t="s">
        <v>313</v>
      </c>
      <c r="B294" s="16" t="s">
        <v>598</v>
      </c>
      <c r="C294" s="18" t="s">
        <v>20</v>
      </c>
      <c r="D294" s="18" t="s">
        <v>20</v>
      </c>
      <c r="E294" s="19">
        <v>13</v>
      </c>
      <c r="F294" s="20">
        <v>0.31874988938600257</v>
      </c>
      <c r="G294" s="21">
        <v>4.1437485620180334</v>
      </c>
      <c r="H294" s="19">
        <v>14</v>
      </c>
      <c r="I294" s="20">
        <v>0.31780809496047563</v>
      </c>
      <c r="J294" s="21">
        <v>4.4493133294466585</v>
      </c>
      <c r="K294" s="21">
        <v>0.51200000000000012</v>
      </c>
      <c r="L294" s="21">
        <v>2.2780484246766899</v>
      </c>
      <c r="M294" s="22" t="s">
        <v>22</v>
      </c>
      <c r="N294" s="22" t="s">
        <v>16</v>
      </c>
      <c r="O294" s="23">
        <v>0.2</v>
      </c>
      <c r="P294" s="20">
        <v>0.99235109195477866</v>
      </c>
    </row>
    <row r="295" spans="1:16">
      <c r="A295" s="16" t="s">
        <v>314</v>
      </c>
      <c r="B295" s="16"/>
      <c r="C295" s="18"/>
      <c r="D295" s="18"/>
      <c r="E295" s="19"/>
      <c r="F295" s="20"/>
      <c r="G295" s="21"/>
      <c r="H295" s="19"/>
      <c r="I295" s="20"/>
      <c r="J295" s="21"/>
      <c r="K295" s="21"/>
      <c r="L295" s="21"/>
      <c r="M295" s="22"/>
      <c r="N295" s="22"/>
      <c r="O295" s="23" t="s">
        <v>14</v>
      </c>
      <c r="P295" s="20"/>
    </row>
    <row r="296" spans="1:16">
      <c r="A296" s="16" t="s">
        <v>315</v>
      </c>
      <c r="B296" s="16" t="s">
        <v>587</v>
      </c>
      <c r="C296" s="18" t="s">
        <v>12</v>
      </c>
      <c r="D296" s="18" t="s">
        <v>13</v>
      </c>
      <c r="E296" s="19">
        <v>7</v>
      </c>
      <c r="F296" s="20">
        <v>0.30556476742862476</v>
      </c>
      <c r="G296" s="21">
        <v>2.1389533720003735</v>
      </c>
      <c r="H296" s="19">
        <v>7</v>
      </c>
      <c r="I296" s="20">
        <v>0.30556476742862476</v>
      </c>
      <c r="J296" s="21">
        <v>2.1389533720003735</v>
      </c>
      <c r="K296" s="21">
        <v>0.51200000000000012</v>
      </c>
      <c r="L296" s="21">
        <v>1.0951441264641915</v>
      </c>
      <c r="M296" s="22" t="s">
        <v>15</v>
      </c>
      <c r="N296" s="22" t="s">
        <v>16</v>
      </c>
      <c r="O296" s="23">
        <v>1</v>
      </c>
      <c r="P296" s="20">
        <v>0.54531827687277212</v>
      </c>
    </row>
    <row r="297" spans="1:16">
      <c r="A297" s="16" t="s">
        <v>316</v>
      </c>
      <c r="B297" s="16" t="s">
        <v>588</v>
      </c>
      <c r="C297" s="18" t="s">
        <v>20</v>
      </c>
      <c r="D297" s="18" t="s">
        <v>20</v>
      </c>
      <c r="E297" s="19">
        <v>15</v>
      </c>
      <c r="F297" s="20">
        <v>0.36169425598386251</v>
      </c>
      <c r="G297" s="21">
        <v>5.4254138397579377</v>
      </c>
      <c r="H297" s="19">
        <v>19</v>
      </c>
      <c r="I297" s="20">
        <v>0.34669820241289806</v>
      </c>
      <c r="J297" s="21">
        <v>6.5872658458450628</v>
      </c>
      <c r="K297" s="21">
        <v>0.51200000000000012</v>
      </c>
      <c r="L297" s="21">
        <v>3.3726801130726729</v>
      </c>
      <c r="M297" s="22" t="s">
        <v>18</v>
      </c>
      <c r="N297" s="22" t="s">
        <v>16</v>
      </c>
      <c r="O297" s="23">
        <v>0.4</v>
      </c>
      <c r="P297" s="20">
        <v>0.98612913738689789</v>
      </c>
    </row>
    <row r="298" spans="1:16">
      <c r="A298" s="16" t="s">
        <v>317</v>
      </c>
      <c r="B298" s="16" t="s">
        <v>589</v>
      </c>
      <c r="C298" s="18" t="s">
        <v>20</v>
      </c>
      <c r="D298" s="18" t="s">
        <v>20</v>
      </c>
      <c r="E298" s="19">
        <v>10</v>
      </c>
      <c r="F298" s="20">
        <v>0.30150538190943532</v>
      </c>
      <c r="G298" s="21">
        <v>3.0150538190943532</v>
      </c>
      <c r="H298" s="19">
        <v>14</v>
      </c>
      <c r="I298" s="20">
        <v>0.29835041608439133</v>
      </c>
      <c r="J298" s="21">
        <v>4.1769058251814783</v>
      </c>
      <c r="K298" s="21">
        <v>0.51200000000000012</v>
      </c>
      <c r="L298" s="21">
        <v>2.1385757824929175</v>
      </c>
      <c r="M298" s="22" t="s">
        <v>15</v>
      </c>
      <c r="N298" s="22" t="s">
        <v>18</v>
      </c>
      <c r="O298" s="23">
        <v>2.5</v>
      </c>
      <c r="P298" s="20">
        <v>0.42255311892154906</v>
      </c>
    </row>
    <row r="299" spans="1:16">
      <c r="A299" s="16" t="s">
        <v>318</v>
      </c>
      <c r="B299" s="16" t="s">
        <v>593</v>
      </c>
      <c r="C299" s="18" t="s">
        <v>20</v>
      </c>
      <c r="D299" s="18" t="s">
        <v>20</v>
      </c>
      <c r="E299" s="19">
        <v>16</v>
      </c>
      <c r="F299" s="20">
        <v>0.31057399750071907</v>
      </c>
      <c r="G299" s="21">
        <v>4.9691839600115051</v>
      </c>
      <c r="H299" s="19">
        <v>20</v>
      </c>
      <c r="I299" s="20">
        <v>0.30655179830493151</v>
      </c>
      <c r="J299" s="21">
        <v>6.1310359660986302</v>
      </c>
      <c r="K299" s="21">
        <v>0.51200000000000012</v>
      </c>
      <c r="L299" s="21">
        <v>3.1390904146424994</v>
      </c>
      <c r="M299" s="22" t="s">
        <v>18</v>
      </c>
      <c r="N299" s="22" t="s">
        <v>18</v>
      </c>
      <c r="O299" s="23">
        <v>1</v>
      </c>
      <c r="P299" s="20">
        <v>0.90786712173218709</v>
      </c>
    </row>
    <row r="300" spans="1:16">
      <c r="A300" s="16" t="s">
        <v>319</v>
      </c>
      <c r="B300" s="16" t="s">
        <v>593</v>
      </c>
      <c r="C300" s="18" t="s">
        <v>12</v>
      </c>
      <c r="D300" s="18" t="s">
        <v>13</v>
      </c>
      <c r="E300" s="19">
        <v>23</v>
      </c>
      <c r="F300" s="20">
        <v>0.28542907955283342</v>
      </c>
      <c r="G300" s="21">
        <v>6.5648688297151683</v>
      </c>
      <c r="H300" s="19">
        <v>23</v>
      </c>
      <c r="I300" s="20">
        <v>0.28542907955283342</v>
      </c>
      <c r="J300" s="21">
        <v>6.5648688297151683</v>
      </c>
      <c r="K300" s="21">
        <v>0.51200000000000012</v>
      </c>
      <c r="L300" s="21">
        <v>3.3612128408141668</v>
      </c>
      <c r="M300" s="22" t="s">
        <v>15</v>
      </c>
      <c r="N300" s="22" t="s">
        <v>18</v>
      </c>
      <c r="O300" s="23">
        <v>2.5</v>
      </c>
      <c r="P300" s="20">
        <v>0.64382901667208525</v>
      </c>
    </row>
    <row r="301" spans="1:16">
      <c r="A301" s="16" t="s">
        <v>320</v>
      </c>
      <c r="B301" s="16" t="s">
        <v>593</v>
      </c>
      <c r="C301" s="18" t="s">
        <v>12</v>
      </c>
      <c r="D301" s="18" t="s">
        <v>13</v>
      </c>
      <c r="E301" s="19">
        <v>23</v>
      </c>
      <c r="F301" s="20">
        <v>0.28542907955283342</v>
      </c>
      <c r="G301" s="21">
        <v>6.5648688297151683</v>
      </c>
      <c r="H301" s="19">
        <v>23</v>
      </c>
      <c r="I301" s="20">
        <v>0.28542907955283342</v>
      </c>
      <c r="J301" s="21">
        <v>6.5648688297151683</v>
      </c>
      <c r="K301" s="21">
        <v>0.51200000000000012</v>
      </c>
      <c r="L301" s="21">
        <v>3.3612128408141668</v>
      </c>
      <c r="M301" s="22" t="s">
        <v>15</v>
      </c>
      <c r="N301" s="22" t="s">
        <v>18</v>
      </c>
      <c r="O301" s="23">
        <v>2.5</v>
      </c>
      <c r="P301" s="20">
        <v>0.64382901667208525</v>
      </c>
    </row>
    <row r="302" spans="1:16">
      <c r="A302" s="16" t="s">
        <v>321</v>
      </c>
      <c r="B302" s="16" t="s">
        <v>604</v>
      </c>
      <c r="C302" s="18" t="s">
        <v>20</v>
      </c>
      <c r="D302" s="18" t="s">
        <v>20</v>
      </c>
      <c r="E302" s="19">
        <v>8</v>
      </c>
      <c r="F302" s="20">
        <v>0.27574070675906742</v>
      </c>
      <c r="G302" s="21">
        <v>2.2059256540725394</v>
      </c>
      <c r="H302" s="19">
        <v>12</v>
      </c>
      <c r="I302" s="20">
        <v>0.28064813834663865</v>
      </c>
      <c r="J302" s="21">
        <v>3.3677776601596641</v>
      </c>
      <c r="K302" s="21">
        <v>0.51200000000000012</v>
      </c>
      <c r="L302" s="21">
        <v>1.7243021620017485</v>
      </c>
      <c r="M302" s="22" t="s">
        <v>18</v>
      </c>
      <c r="N302" s="22" t="s">
        <v>18</v>
      </c>
      <c r="O302" s="23">
        <v>1</v>
      </c>
      <c r="P302" s="20">
        <v>0.74831483859677006</v>
      </c>
    </row>
    <row r="303" spans="1:16">
      <c r="A303" s="16" t="s">
        <v>322</v>
      </c>
      <c r="B303" s="16" t="s">
        <v>593</v>
      </c>
      <c r="C303" s="18" t="s">
        <v>12</v>
      </c>
      <c r="D303" s="18" t="s">
        <v>13</v>
      </c>
      <c r="E303" s="19">
        <v>23</v>
      </c>
      <c r="F303" s="20">
        <v>0.28542907955283342</v>
      </c>
      <c r="G303" s="21">
        <v>6.5648688297151683</v>
      </c>
      <c r="H303" s="19">
        <v>23</v>
      </c>
      <c r="I303" s="20">
        <v>0.28542907955283342</v>
      </c>
      <c r="J303" s="21">
        <v>6.5648688297151683</v>
      </c>
      <c r="K303" s="21">
        <v>0.51200000000000012</v>
      </c>
      <c r="L303" s="21">
        <v>3.3612128408141668</v>
      </c>
      <c r="M303" s="22" t="s">
        <v>18</v>
      </c>
      <c r="N303" s="22" t="s">
        <v>18</v>
      </c>
      <c r="O303" s="23">
        <v>1</v>
      </c>
      <c r="P303" s="20">
        <v>0.91868432381676024</v>
      </c>
    </row>
    <row r="304" spans="1:16">
      <c r="A304" s="16" t="s">
        <v>323</v>
      </c>
      <c r="B304" s="16" t="s">
        <v>598</v>
      </c>
      <c r="C304" s="18" t="s">
        <v>20</v>
      </c>
      <c r="D304" s="18" t="s">
        <v>20</v>
      </c>
      <c r="E304" s="19">
        <v>11</v>
      </c>
      <c r="F304" s="20">
        <v>0.2804175827860152</v>
      </c>
      <c r="G304" s="21">
        <v>3.0845934106461672</v>
      </c>
      <c r="H304" s="19">
        <v>15</v>
      </c>
      <c r="I304" s="20">
        <v>0.28309636111555281</v>
      </c>
      <c r="J304" s="21">
        <v>4.2464454167332919</v>
      </c>
      <c r="K304" s="21">
        <v>0.51200000000000012</v>
      </c>
      <c r="L304" s="21">
        <v>2.1741800533674458</v>
      </c>
      <c r="M304" s="22" t="s">
        <v>15</v>
      </c>
      <c r="N304" s="22" t="s">
        <v>18</v>
      </c>
      <c r="O304" s="23">
        <v>2.5</v>
      </c>
      <c r="P304" s="20">
        <v>0.43063073138287361</v>
      </c>
    </row>
    <row r="305" spans="1:16">
      <c r="A305" s="16" t="s">
        <v>324</v>
      </c>
      <c r="B305" s="16" t="s">
        <v>593</v>
      </c>
      <c r="C305" s="18" t="s">
        <v>20</v>
      </c>
      <c r="D305" s="18" t="s">
        <v>20</v>
      </c>
      <c r="E305" s="19">
        <v>23</v>
      </c>
      <c r="F305" s="20">
        <v>0.28542907955283342</v>
      </c>
      <c r="G305" s="21">
        <v>6.5648688297151683</v>
      </c>
      <c r="H305" s="19">
        <v>27</v>
      </c>
      <c r="I305" s="20">
        <v>0.28617484577045532</v>
      </c>
      <c r="J305" s="21">
        <v>7.7267208358022934</v>
      </c>
      <c r="K305" s="21">
        <v>0.51200000000000012</v>
      </c>
      <c r="L305" s="21">
        <v>3.956081067930775</v>
      </c>
      <c r="M305" s="22" t="s">
        <v>18</v>
      </c>
      <c r="N305" s="22" t="s">
        <v>16</v>
      </c>
      <c r="O305" s="23">
        <v>0.4</v>
      </c>
      <c r="P305" s="20">
        <v>0.98988019249457171</v>
      </c>
    </row>
    <row r="306" spans="1:16">
      <c r="A306" s="16" t="s">
        <v>325</v>
      </c>
      <c r="B306" s="16" t="s">
        <v>587</v>
      </c>
      <c r="C306" s="18" t="s">
        <v>20</v>
      </c>
      <c r="D306" s="18" t="s">
        <v>20</v>
      </c>
      <c r="E306" s="19">
        <v>6</v>
      </c>
      <c r="F306" s="20">
        <v>0.2734362485930702</v>
      </c>
      <c r="G306" s="21">
        <v>1.6406174915584213</v>
      </c>
      <c r="H306" s="19">
        <v>10</v>
      </c>
      <c r="I306" s="20">
        <v>0.28024694976455466</v>
      </c>
      <c r="J306" s="21">
        <v>2.8024694976455464</v>
      </c>
      <c r="K306" s="21">
        <v>0.51200000000000012</v>
      </c>
      <c r="L306" s="21">
        <v>1.4348643827945202</v>
      </c>
      <c r="M306" s="22" t="s">
        <v>18</v>
      </c>
      <c r="N306" s="22" t="s">
        <v>16</v>
      </c>
      <c r="O306" s="23">
        <v>0.4</v>
      </c>
      <c r="P306" s="20">
        <v>0.92789011236638475</v>
      </c>
    </row>
    <row r="307" spans="1:16">
      <c r="A307" s="16" t="s">
        <v>326</v>
      </c>
      <c r="B307" s="16"/>
      <c r="C307" s="18"/>
      <c r="D307" s="18"/>
      <c r="E307" s="19"/>
      <c r="F307" s="20"/>
      <c r="G307" s="21"/>
      <c r="H307" s="19"/>
      <c r="I307" s="20"/>
      <c r="J307" s="21"/>
      <c r="K307" s="21"/>
      <c r="L307" s="21"/>
      <c r="M307" s="22"/>
      <c r="N307" s="22"/>
      <c r="O307" s="23" t="s">
        <v>14</v>
      </c>
      <c r="P307" s="20"/>
    </row>
    <row r="308" spans="1:16">
      <c r="A308" s="16" t="s">
        <v>327</v>
      </c>
      <c r="B308" s="16" t="s">
        <v>587</v>
      </c>
      <c r="C308" s="18" t="s">
        <v>12</v>
      </c>
      <c r="D308" s="18" t="s">
        <v>13</v>
      </c>
      <c r="E308" s="19">
        <v>7</v>
      </c>
      <c r="F308" s="20">
        <v>0.30556476742862476</v>
      </c>
      <c r="G308" s="21">
        <v>2.1389533720003735</v>
      </c>
      <c r="H308" s="19">
        <v>7</v>
      </c>
      <c r="I308" s="20">
        <v>0.30556476742862476</v>
      </c>
      <c r="J308" s="21">
        <v>2.1389533720003735</v>
      </c>
      <c r="K308" s="21">
        <v>0.51200000000000012</v>
      </c>
      <c r="L308" s="21">
        <v>1.0951441264641915</v>
      </c>
      <c r="M308" s="22" t="s">
        <v>15</v>
      </c>
      <c r="N308" s="22" t="s">
        <v>16</v>
      </c>
      <c r="O308" s="23">
        <v>1</v>
      </c>
      <c r="P308" s="20">
        <v>0.54531827687277212</v>
      </c>
    </row>
    <row r="309" spans="1:16">
      <c r="A309" s="16" t="s">
        <v>328</v>
      </c>
      <c r="B309" s="16" t="s">
        <v>588</v>
      </c>
      <c r="C309" s="18" t="s">
        <v>20</v>
      </c>
      <c r="D309" s="18" t="s">
        <v>20</v>
      </c>
      <c r="E309" s="19">
        <v>15</v>
      </c>
      <c r="F309" s="20">
        <v>0.36169425598386251</v>
      </c>
      <c r="G309" s="21">
        <v>5.4254138397579377</v>
      </c>
      <c r="H309" s="19">
        <v>19</v>
      </c>
      <c r="I309" s="20">
        <v>0.34683507979743594</v>
      </c>
      <c r="J309" s="21">
        <v>6.5898665161512833</v>
      </c>
      <c r="K309" s="21">
        <v>0.51200000000000012</v>
      </c>
      <c r="L309" s="21">
        <v>3.3740116562694578</v>
      </c>
      <c r="M309" s="22" t="s">
        <v>18</v>
      </c>
      <c r="N309" s="22" t="s">
        <v>16</v>
      </c>
      <c r="O309" s="23">
        <v>0.4</v>
      </c>
      <c r="P309" s="20">
        <v>0.98613993169940772</v>
      </c>
    </row>
    <row r="310" spans="1:16">
      <c r="A310" s="16" t="s">
        <v>329</v>
      </c>
      <c r="B310" s="16" t="s">
        <v>587</v>
      </c>
      <c r="C310" s="18" t="s">
        <v>20</v>
      </c>
      <c r="D310" s="18" t="s">
        <v>20</v>
      </c>
      <c r="E310" s="19">
        <v>24</v>
      </c>
      <c r="F310" s="20">
        <v>0.28652311657321133</v>
      </c>
      <c r="G310" s="21">
        <v>6.8765547977570716</v>
      </c>
      <c r="H310" s="19">
        <v>28</v>
      </c>
      <c r="I310" s="20">
        <v>0.2871788383625149</v>
      </c>
      <c r="J310" s="21">
        <v>8.0410074741504172</v>
      </c>
      <c r="K310" s="21">
        <v>0.51200000000000012</v>
      </c>
      <c r="L310" s="21">
        <v>4.1169958267650149</v>
      </c>
      <c r="M310" s="22" t="s">
        <v>18</v>
      </c>
      <c r="N310" s="22" t="s">
        <v>16</v>
      </c>
      <c r="O310" s="23">
        <v>0.4</v>
      </c>
      <c r="P310" s="20">
        <v>0.99064855466758628</v>
      </c>
    </row>
    <row r="311" spans="1:16">
      <c r="A311" s="16" t="s">
        <v>330</v>
      </c>
      <c r="B311" s="16" t="s">
        <v>595</v>
      </c>
      <c r="C311" s="18" t="s">
        <v>12</v>
      </c>
      <c r="D311" s="18" t="s">
        <v>13</v>
      </c>
      <c r="E311" s="19">
        <v>24</v>
      </c>
      <c r="F311" s="20">
        <v>0.2883123786889194</v>
      </c>
      <c r="G311" s="21">
        <v>6.9194970885340652</v>
      </c>
      <c r="H311" s="19">
        <v>24</v>
      </c>
      <c r="I311" s="20">
        <v>0.2883123786889194</v>
      </c>
      <c r="J311" s="21">
        <v>6.9194970885340652</v>
      </c>
      <c r="K311" s="21">
        <v>0.51200000000000012</v>
      </c>
      <c r="L311" s="21">
        <v>3.5427825093294421</v>
      </c>
      <c r="M311" s="22" t="s">
        <v>22</v>
      </c>
      <c r="N311" s="22" t="s">
        <v>16</v>
      </c>
      <c r="O311" s="23">
        <v>0.2</v>
      </c>
      <c r="P311" s="20">
        <v>0.99682320531822743</v>
      </c>
    </row>
    <row r="312" spans="1:16">
      <c r="A312" s="16" t="s">
        <v>331</v>
      </c>
      <c r="B312" s="16" t="s">
        <v>595</v>
      </c>
      <c r="C312" s="18" t="s">
        <v>12</v>
      </c>
      <c r="D312" s="18" t="s">
        <v>13</v>
      </c>
      <c r="E312" s="19">
        <v>25</v>
      </c>
      <c r="F312" s="20">
        <v>0.28802676082334888</v>
      </c>
      <c r="G312" s="21">
        <v>7.2006690205837218</v>
      </c>
      <c r="H312" s="19">
        <v>25</v>
      </c>
      <c r="I312" s="20">
        <v>0.28802676082334888</v>
      </c>
      <c r="J312" s="21">
        <v>7.2006690205837218</v>
      </c>
      <c r="K312" s="21">
        <v>0.51200000000000012</v>
      </c>
      <c r="L312" s="21">
        <v>3.6867425385388666</v>
      </c>
      <c r="M312" s="22" t="s">
        <v>18</v>
      </c>
      <c r="N312" s="22" t="s">
        <v>18</v>
      </c>
      <c r="O312" s="23">
        <v>1</v>
      </c>
      <c r="P312" s="20">
        <v>0.931469629557794</v>
      </c>
    </row>
    <row r="313" spans="1:16">
      <c r="A313" s="16" t="s">
        <v>332</v>
      </c>
      <c r="B313" s="16" t="s">
        <v>595</v>
      </c>
      <c r="C313" s="18" t="s">
        <v>12</v>
      </c>
      <c r="D313" s="18" t="s">
        <v>13</v>
      </c>
      <c r="E313" s="19">
        <v>25</v>
      </c>
      <c r="F313" s="20">
        <v>0.28254876945245216</v>
      </c>
      <c r="G313" s="21">
        <v>7.0637192363113037</v>
      </c>
      <c r="H313" s="19">
        <v>25</v>
      </c>
      <c r="I313" s="20">
        <v>0.28254876945245216</v>
      </c>
      <c r="J313" s="21">
        <v>7.0637192363113037</v>
      </c>
      <c r="K313" s="21">
        <v>0.51200000000000012</v>
      </c>
      <c r="L313" s="21">
        <v>3.6166242489913882</v>
      </c>
      <c r="M313" s="22" t="s">
        <v>22</v>
      </c>
      <c r="N313" s="22" t="s">
        <v>16</v>
      </c>
      <c r="O313" s="23">
        <v>0.2</v>
      </c>
      <c r="P313" s="20">
        <v>0.99695121276359133</v>
      </c>
    </row>
    <row r="314" spans="1:16">
      <c r="A314" s="16" t="s">
        <v>333</v>
      </c>
      <c r="B314" s="16"/>
      <c r="C314" s="18"/>
      <c r="D314" s="18"/>
      <c r="E314" s="19"/>
      <c r="F314" s="20"/>
      <c r="G314" s="21"/>
      <c r="H314" s="19"/>
      <c r="I314" s="20"/>
      <c r="J314" s="21"/>
      <c r="K314" s="21"/>
      <c r="L314" s="21"/>
      <c r="M314" s="22"/>
      <c r="N314" s="22"/>
      <c r="O314" s="23" t="s">
        <v>14</v>
      </c>
      <c r="P314" s="20"/>
    </row>
    <row r="315" spans="1:16">
      <c r="A315" s="16" t="s">
        <v>334</v>
      </c>
      <c r="B315" s="16" t="s">
        <v>587</v>
      </c>
      <c r="C315" s="18" t="s">
        <v>12</v>
      </c>
      <c r="D315" s="18" t="s">
        <v>13</v>
      </c>
      <c r="E315" s="19">
        <v>7</v>
      </c>
      <c r="F315" s="20">
        <v>0.30556476742862476</v>
      </c>
      <c r="G315" s="21">
        <v>2.1389533720003735</v>
      </c>
      <c r="H315" s="19">
        <v>7</v>
      </c>
      <c r="I315" s="20">
        <v>0.30556476742862476</v>
      </c>
      <c r="J315" s="21">
        <v>2.1389533720003735</v>
      </c>
      <c r="K315" s="21">
        <v>0.51200000000000012</v>
      </c>
      <c r="L315" s="21">
        <v>1.0951441264641915</v>
      </c>
      <c r="M315" s="22" t="s">
        <v>15</v>
      </c>
      <c r="N315" s="22" t="s">
        <v>16</v>
      </c>
      <c r="O315" s="23">
        <v>1</v>
      </c>
      <c r="P315" s="20">
        <v>0.54531827687277212</v>
      </c>
    </row>
    <row r="316" spans="1:16">
      <c r="A316" s="16" t="s">
        <v>335</v>
      </c>
      <c r="B316" s="16" t="s">
        <v>588</v>
      </c>
      <c r="C316" s="18" t="s">
        <v>20</v>
      </c>
      <c r="D316" s="18" t="s">
        <v>20</v>
      </c>
      <c r="E316" s="19">
        <v>15</v>
      </c>
      <c r="F316" s="20">
        <v>0.36169425598386251</v>
      </c>
      <c r="G316" s="21">
        <v>5.4254138397579377</v>
      </c>
      <c r="H316" s="19">
        <v>17</v>
      </c>
      <c r="I316" s="20">
        <v>0.35439303105679221</v>
      </c>
      <c r="J316" s="21">
        <v>6.024681527965468</v>
      </c>
      <c r="K316" s="21">
        <v>0.51200000000000012</v>
      </c>
      <c r="L316" s="21">
        <v>3.0846369423183204</v>
      </c>
      <c r="M316" s="22" t="s">
        <v>18</v>
      </c>
      <c r="N316" s="22" t="s">
        <v>16</v>
      </c>
      <c r="O316" s="23">
        <v>0.4</v>
      </c>
      <c r="P316" s="20">
        <v>0.98346250677288571</v>
      </c>
    </row>
    <row r="317" spans="1:16">
      <c r="A317" s="16" t="s">
        <v>336</v>
      </c>
      <c r="B317" s="16" t="s">
        <v>588</v>
      </c>
      <c r="C317" s="18" t="s">
        <v>20</v>
      </c>
      <c r="D317" s="18" t="s">
        <v>20</v>
      </c>
      <c r="E317" s="19">
        <v>6</v>
      </c>
      <c r="F317" s="20">
        <v>0.27534179358419858</v>
      </c>
      <c r="G317" s="21">
        <v>1.6520507615051914</v>
      </c>
      <c r="H317" s="19">
        <v>8</v>
      </c>
      <c r="I317" s="20">
        <v>0.2814148062140901</v>
      </c>
      <c r="J317" s="21">
        <v>2.2513184497127208</v>
      </c>
      <c r="K317" s="21">
        <v>0.51200000000000012</v>
      </c>
      <c r="L317" s="21">
        <v>1.1526750462529134</v>
      </c>
      <c r="M317" s="22" t="s">
        <v>18</v>
      </c>
      <c r="N317" s="22" t="s">
        <v>16</v>
      </c>
      <c r="O317" s="23">
        <v>0.4</v>
      </c>
      <c r="P317" s="20">
        <v>0.8925207733446594</v>
      </c>
    </row>
    <row r="318" spans="1:16">
      <c r="A318" s="16" t="s">
        <v>337</v>
      </c>
      <c r="B318" s="16" t="s">
        <v>588</v>
      </c>
      <c r="C318" s="18" t="s">
        <v>20</v>
      </c>
      <c r="D318" s="18" t="s">
        <v>20</v>
      </c>
      <c r="E318" s="19">
        <v>7</v>
      </c>
      <c r="F318" s="20">
        <v>0.27400234964766607</v>
      </c>
      <c r="G318" s="21">
        <v>1.9180164475336625</v>
      </c>
      <c r="H318" s="19">
        <v>9</v>
      </c>
      <c r="I318" s="20">
        <v>0.27969823730457688</v>
      </c>
      <c r="J318" s="21">
        <v>2.5172841357411917</v>
      </c>
      <c r="K318" s="21">
        <v>0.51200000000000012</v>
      </c>
      <c r="L318" s="21">
        <v>1.2888494774994905</v>
      </c>
      <c r="M318" s="22" t="s">
        <v>18</v>
      </c>
      <c r="N318" s="22" t="s">
        <v>16</v>
      </c>
      <c r="O318" s="23">
        <v>0.4</v>
      </c>
      <c r="P318" s="20">
        <v>0.91214260455482088</v>
      </c>
    </row>
    <row r="319" spans="1:16">
      <c r="A319" s="16" t="s">
        <v>338</v>
      </c>
      <c r="B319" s="16" t="s">
        <v>592</v>
      </c>
      <c r="C319" s="18" t="s">
        <v>12</v>
      </c>
      <c r="D319" s="18" t="s">
        <v>13</v>
      </c>
      <c r="E319" s="19">
        <v>7</v>
      </c>
      <c r="F319" s="20">
        <v>0.2937029207789047</v>
      </c>
      <c r="G319" s="21">
        <v>2.0559204454523328</v>
      </c>
      <c r="H319" s="19">
        <v>7</v>
      </c>
      <c r="I319" s="20">
        <v>0.2937029207789047</v>
      </c>
      <c r="J319" s="21">
        <v>2.0559204454523328</v>
      </c>
      <c r="K319" s="21">
        <v>0.51200000000000012</v>
      </c>
      <c r="L319" s="21">
        <v>1.0526312680715946</v>
      </c>
      <c r="M319" s="22" t="s">
        <v>18</v>
      </c>
      <c r="N319" s="22" t="s">
        <v>16</v>
      </c>
      <c r="O319" s="23">
        <v>0.4</v>
      </c>
      <c r="P319" s="20">
        <v>0.8738202774119147</v>
      </c>
    </row>
    <row r="320" spans="1:16">
      <c r="A320" s="16" t="s">
        <v>339</v>
      </c>
      <c r="B320" s="16" t="s">
        <v>593</v>
      </c>
      <c r="C320" s="18" t="s">
        <v>20</v>
      </c>
      <c r="D320" s="18" t="s">
        <v>20</v>
      </c>
      <c r="E320" s="19">
        <v>13</v>
      </c>
      <c r="F320" s="20">
        <v>0.28811194497051679</v>
      </c>
      <c r="G320" s="21">
        <v>3.7454552846167184</v>
      </c>
      <c r="H320" s="19">
        <v>15</v>
      </c>
      <c r="I320" s="20">
        <v>0.28964819818828319</v>
      </c>
      <c r="J320" s="21">
        <v>4.3447229728242478</v>
      </c>
      <c r="K320" s="21">
        <v>0.51200000000000012</v>
      </c>
      <c r="L320" s="21">
        <v>2.2244981620860154</v>
      </c>
      <c r="M320" s="22" t="s">
        <v>18</v>
      </c>
      <c r="N320" s="22" t="s">
        <v>18</v>
      </c>
      <c r="O320" s="23">
        <v>1</v>
      </c>
      <c r="P320" s="20">
        <v>0.83188734237640694</v>
      </c>
    </row>
    <row r="321" spans="1:16">
      <c r="A321" s="16" t="s">
        <v>340</v>
      </c>
      <c r="B321" s="16" t="s">
        <v>598</v>
      </c>
      <c r="C321" s="18" t="s">
        <v>20</v>
      </c>
      <c r="D321" s="18" t="s">
        <v>20</v>
      </c>
      <c r="E321" s="19">
        <v>15</v>
      </c>
      <c r="F321" s="20">
        <v>0.34396259046736016</v>
      </c>
      <c r="G321" s="21">
        <v>5.1594388570104028</v>
      </c>
      <c r="H321" s="19">
        <v>17</v>
      </c>
      <c r="I321" s="20">
        <v>0.33874744383634897</v>
      </c>
      <c r="J321" s="21">
        <v>5.7587065452179322</v>
      </c>
      <c r="K321" s="21">
        <v>0.51200000000000012</v>
      </c>
      <c r="L321" s="21">
        <v>2.9484577511515822</v>
      </c>
      <c r="M321" s="22" t="s">
        <v>18</v>
      </c>
      <c r="N321" s="22" t="s">
        <v>16</v>
      </c>
      <c r="O321" s="23">
        <v>0.4</v>
      </c>
      <c r="P321" s="20">
        <v>0.98192785327786669</v>
      </c>
    </row>
    <row r="322" spans="1:16">
      <c r="A322" s="16" t="s">
        <v>341</v>
      </c>
      <c r="B322" s="16" t="s">
        <v>593</v>
      </c>
      <c r="C322" s="18" t="s">
        <v>20</v>
      </c>
      <c r="D322" s="18" t="s">
        <v>20</v>
      </c>
      <c r="E322" s="19">
        <v>17</v>
      </c>
      <c r="F322" s="20">
        <v>0.29313686087748303</v>
      </c>
      <c r="G322" s="21">
        <v>4.9833266349172112</v>
      </c>
      <c r="H322" s="19">
        <v>19</v>
      </c>
      <c r="I322" s="20">
        <v>0.29382075384867057</v>
      </c>
      <c r="J322" s="21">
        <v>5.5825943231247406</v>
      </c>
      <c r="K322" s="21">
        <v>0.51200000000000012</v>
      </c>
      <c r="L322" s="21">
        <v>2.8582882934398679</v>
      </c>
      <c r="M322" s="22" t="s">
        <v>22</v>
      </c>
      <c r="N322" s="22" t="s">
        <v>16</v>
      </c>
      <c r="O322" s="23">
        <v>0.2</v>
      </c>
      <c r="P322" s="20">
        <v>0.99512778122642931</v>
      </c>
    </row>
    <row r="323" spans="1:16">
      <c r="A323" s="16" t="s">
        <v>342</v>
      </c>
      <c r="B323" s="16" t="s">
        <v>588</v>
      </c>
      <c r="C323" s="18" t="s">
        <v>20</v>
      </c>
      <c r="D323" s="18" t="s">
        <v>20</v>
      </c>
      <c r="E323" s="19">
        <v>11</v>
      </c>
      <c r="F323" s="20">
        <v>0.2984866462268469</v>
      </c>
      <c r="G323" s="21">
        <v>3.2833531084953158</v>
      </c>
      <c r="H323" s="19">
        <v>13</v>
      </c>
      <c r="I323" s="20">
        <v>0.29866313820791118</v>
      </c>
      <c r="J323" s="21">
        <v>3.8826207967028452</v>
      </c>
      <c r="K323" s="21">
        <v>0.51200000000000012</v>
      </c>
      <c r="L323" s="21">
        <v>1.9879018479118573</v>
      </c>
      <c r="M323" s="22" t="s">
        <v>22</v>
      </c>
      <c r="N323" s="22" t="s">
        <v>18</v>
      </c>
      <c r="O323" s="23">
        <v>0.5</v>
      </c>
      <c r="P323" s="20">
        <v>0.94050103493390347</v>
      </c>
    </row>
    <row r="324" spans="1:16">
      <c r="A324" s="16" t="s">
        <v>343</v>
      </c>
      <c r="B324" s="16" t="s">
        <v>598</v>
      </c>
      <c r="C324" s="18" t="s">
        <v>20</v>
      </c>
      <c r="D324" s="18" t="s">
        <v>20</v>
      </c>
      <c r="E324" s="19">
        <v>9</v>
      </c>
      <c r="F324" s="20">
        <v>0.31221410131844085</v>
      </c>
      <c r="G324" s="21">
        <v>2.8099269118659675</v>
      </c>
      <c r="H324" s="19">
        <v>11</v>
      </c>
      <c r="I324" s="20">
        <v>0.30992678182486338</v>
      </c>
      <c r="J324" s="21">
        <v>3.4091946000734974</v>
      </c>
      <c r="K324" s="21">
        <v>0.51200000000000012</v>
      </c>
      <c r="L324" s="21">
        <v>1.7455076352376311</v>
      </c>
      <c r="M324" s="22" t="s">
        <v>22</v>
      </c>
      <c r="N324" s="22" t="s">
        <v>16</v>
      </c>
      <c r="O324" s="23">
        <v>0.2</v>
      </c>
      <c r="P324" s="20">
        <v>0.98704158348110071</v>
      </c>
    </row>
    <row r="325" spans="1:16">
      <c r="A325" s="16" t="s">
        <v>344</v>
      </c>
      <c r="B325" s="16"/>
      <c r="C325" s="18"/>
      <c r="D325" s="18"/>
      <c r="E325" s="19"/>
      <c r="F325" s="20"/>
      <c r="G325" s="21"/>
      <c r="H325" s="19"/>
      <c r="I325" s="20"/>
      <c r="J325" s="21"/>
      <c r="K325" s="21"/>
      <c r="L325" s="21"/>
      <c r="M325" s="22"/>
      <c r="N325" s="22"/>
      <c r="O325" s="23" t="s">
        <v>14</v>
      </c>
      <c r="P325" s="20"/>
    </row>
    <row r="326" spans="1:16">
      <c r="A326" s="16" t="s">
        <v>345</v>
      </c>
      <c r="B326" s="16" t="s">
        <v>587</v>
      </c>
      <c r="C326" s="18" t="s">
        <v>12</v>
      </c>
      <c r="D326" s="18" t="s">
        <v>13</v>
      </c>
      <c r="E326" s="19">
        <v>7</v>
      </c>
      <c r="F326" s="20">
        <v>0.30556476742862476</v>
      </c>
      <c r="G326" s="21">
        <v>2.1389533720003735</v>
      </c>
      <c r="H326" s="19">
        <v>7</v>
      </c>
      <c r="I326" s="20">
        <v>0.30556476742862476</v>
      </c>
      <c r="J326" s="21">
        <v>2.1389533720003735</v>
      </c>
      <c r="K326" s="21">
        <v>0.51200000000000012</v>
      </c>
      <c r="L326" s="21">
        <v>1.0951441264641915</v>
      </c>
      <c r="M326" s="22" t="s">
        <v>15</v>
      </c>
      <c r="N326" s="22" t="s">
        <v>16</v>
      </c>
      <c r="O326" s="23">
        <v>1</v>
      </c>
      <c r="P326" s="20">
        <v>0.54531827687277212</v>
      </c>
    </row>
    <row r="327" spans="1:16">
      <c r="A327" s="16" t="s">
        <v>346</v>
      </c>
      <c r="B327" s="16" t="s">
        <v>589</v>
      </c>
      <c r="C327" s="18" t="s">
        <v>20</v>
      </c>
      <c r="D327" s="18" t="s">
        <v>20</v>
      </c>
      <c r="E327" s="19"/>
      <c r="F327" s="20"/>
      <c r="G327" s="21"/>
      <c r="H327" s="19"/>
      <c r="I327" s="20"/>
      <c r="J327" s="21"/>
      <c r="K327" s="21"/>
      <c r="L327" s="21"/>
      <c r="M327" s="22"/>
      <c r="N327" s="22"/>
      <c r="O327" s="23" t="s">
        <v>14</v>
      </c>
      <c r="P327" s="20"/>
    </row>
    <row r="328" spans="1:16">
      <c r="A328" s="16" t="s">
        <v>347</v>
      </c>
      <c r="B328" s="16" t="s">
        <v>595</v>
      </c>
      <c r="C328" s="18" t="s">
        <v>12</v>
      </c>
      <c r="D328" s="18" t="s">
        <v>27</v>
      </c>
      <c r="E328" s="19">
        <v>9</v>
      </c>
      <c r="F328" s="20">
        <v>0.30243319286939285</v>
      </c>
      <c r="G328" s="21">
        <v>2.7218987358245359</v>
      </c>
      <c r="H328" s="19">
        <v>9</v>
      </c>
      <c r="I328" s="20">
        <v>0.30243319286939285</v>
      </c>
      <c r="J328" s="21">
        <v>2.7218987358245359</v>
      </c>
      <c r="K328" s="21">
        <v>0.51200000000000012</v>
      </c>
      <c r="L328" s="21">
        <v>1.3936121527421628</v>
      </c>
      <c r="M328" s="22" t="s">
        <v>22</v>
      </c>
      <c r="N328" s="22" t="s">
        <v>16</v>
      </c>
      <c r="O328" s="23">
        <v>0.2</v>
      </c>
      <c r="P328" s="20">
        <v>0.9798199417377611</v>
      </c>
    </row>
    <row r="329" spans="1:16">
      <c r="A329" s="16" t="s">
        <v>348</v>
      </c>
      <c r="B329" s="16" t="s">
        <v>588</v>
      </c>
      <c r="C329" s="18" t="s">
        <v>20</v>
      </c>
      <c r="D329" s="18" t="s">
        <v>20</v>
      </c>
      <c r="E329" s="19">
        <v>10</v>
      </c>
      <c r="F329" s="20">
        <v>0.30360179636542362</v>
      </c>
      <c r="G329" s="21">
        <v>3.0360179636542362</v>
      </c>
      <c r="H329" s="19">
        <v>13</v>
      </c>
      <c r="I329" s="20">
        <v>0.30357300898628048</v>
      </c>
      <c r="J329" s="21">
        <v>3.946449116821646</v>
      </c>
      <c r="K329" s="21">
        <v>0.51200000000000012</v>
      </c>
      <c r="L329" s="21">
        <v>2.0205819478126834</v>
      </c>
      <c r="M329" s="22" t="s">
        <v>22</v>
      </c>
      <c r="N329" s="22" t="s">
        <v>16</v>
      </c>
      <c r="O329" s="23">
        <v>0.2</v>
      </c>
      <c r="P329" s="20">
        <v>0.99029774147331184</v>
      </c>
    </row>
    <row r="330" spans="1:16">
      <c r="A330" s="16" t="s">
        <v>349</v>
      </c>
      <c r="B330" s="16" t="s">
        <v>595</v>
      </c>
      <c r="C330" s="18" t="s">
        <v>12</v>
      </c>
      <c r="D330" s="18" t="s">
        <v>27</v>
      </c>
      <c r="E330" s="19">
        <v>9</v>
      </c>
      <c r="F330" s="20">
        <v>0.30243319286939285</v>
      </c>
      <c r="G330" s="21">
        <v>2.7218987358245359</v>
      </c>
      <c r="H330" s="19">
        <v>9</v>
      </c>
      <c r="I330" s="20">
        <v>0.30243319286939285</v>
      </c>
      <c r="J330" s="21">
        <v>2.7218987358245359</v>
      </c>
      <c r="K330" s="21">
        <v>0.51200000000000012</v>
      </c>
      <c r="L330" s="21">
        <v>1.3936121527421628</v>
      </c>
      <c r="M330" s="22" t="s">
        <v>22</v>
      </c>
      <c r="N330" s="22" t="s">
        <v>16</v>
      </c>
      <c r="O330" s="23">
        <v>0.2</v>
      </c>
      <c r="P330" s="20">
        <v>0.9798199417377611</v>
      </c>
    </row>
    <row r="331" spans="1:16">
      <c r="A331" s="16" t="s">
        <v>350</v>
      </c>
      <c r="B331" s="16" t="s">
        <v>588</v>
      </c>
      <c r="C331" s="18" t="s">
        <v>20</v>
      </c>
      <c r="D331" s="18" t="s">
        <v>20</v>
      </c>
      <c r="E331" s="19">
        <v>9</v>
      </c>
      <c r="F331" s="20">
        <v>0.30243319286939285</v>
      </c>
      <c r="G331" s="21">
        <v>2.7218987358245359</v>
      </c>
      <c r="H331" s="19">
        <v>12</v>
      </c>
      <c r="I331" s="20">
        <v>0.30269415741599554</v>
      </c>
      <c r="J331" s="21">
        <v>3.6323298889919462</v>
      </c>
      <c r="K331" s="21">
        <v>0.51200000000000012</v>
      </c>
      <c r="L331" s="21">
        <v>1.8597529031638769</v>
      </c>
      <c r="M331" s="22" t="s">
        <v>22</v>
      </c>
      <c r="N331" s="22" t="s">
        <v>16</v>
      </c>
      <c r="O331" s="23">
        <v>0.2</v>
      </c>
      <c r="P331" s="20">
        <v>0.98856711955415355</v>
      </c>
    </row>
    <row r="332" spans="1:16">
      <c r="A332" s="16" t="s">
        <v>351</v>
      </c>
      <c r="B332" s="16" t="s">
        <v>588</v>
      </c>
      <c r="C332" s="18" t="s">
        <v>20</v>
      </c>
      <c r="D332" s="18" t="s">
        <v>20</v>
      </c>
      <c r="E332" s="19">
        <v>9</v>
      </c>
      <c r="F332" s="20">
        <v>0.30243319286939285</v>
      </c>
      <c r="G332" s="21">
        <v>2.7218987358245359</v>
      </c>
      <c r="H332" s="19">
        <v>12</v>
      </c>
      <c r="I332" s="20">
        <v>0.30269415741599554</v>
      </c>
      <c r="J332" s="21">
        <v>3.6323298889919462</v>
      </c>
      <c r="K332" s="21">
        <v>0.51200000000000012</v>
      </c>
      <c r="L332" s="21">
        <v>1.8597529031638769</v>
      </c>
      <c r="M332" s="22" t="s">
        <v>22</v>
      </c>
      <c r="N332" s="22" t="s">
        <v>16</v>
      </c>
      <c r="O332" s="23">
        <v>0.2</v>
      </c>
      <c r="P332" s="20">
        <v>0.98856711955415355</v>
      </c>
    </row>
    <row r="333" spans="1:16">
      <c r="A333" s="16" t="s">
        <v>352</v>
      </c>
      <c r="B333" s="16" t="s">
        <v>588</v>
      </c>
      <c r="C333" s="18" t="s">
        <v>20</v>
      </c>
      <c r="D333" s="18" t="s">
        <v>20</v>
      </c>
      <c r="E333" s="19">
        <v>9</v>
      </c>
      <c r="F333" s="20">
        <v>0.30243319286939285</v>
      </c>
      <c r="G333" s="21">
        <v>2.7218987358245359</v>
      </c>
      <c r="H333" s="19">
        <v>12</v>
      </c>
      <c r="I333" s="20">
        <v>0.30269415741599554</v>
      </c>
      <c r="J333" s="21">
        <v>3.6323298889919462</v>
      </c>
      <c r="K333" s="21">
        <v>0.51200000000000012</v>
      </c>
      <c r="L333" s="21">
        <v>1.8597529031638769</v>
      </c>
      <c r="M333" s="22" t="s">
        <v>22</v>
      </c>
      <c r="N333" s="22" t="s">
        <v>16</v>
      </c>
      <c r="O333" s="23">
        <v>0.2</v>
      </c>
      <c r="P333" s="20">
        <v>0.98856711955415355</v>
      </c>
    </row>
    <row r="334" spans="1:16">
      <c r="A334" s="16" t="s">
        <v>353</v>
      </c>
      <c r="B334" s="16" t="s">
        <v>599</v>
      </c>
      <c r="C334" s="18" t="s">
        <v>20</v>
      </c>
      <c r="D334" s="18" t="s">
        <v>20</v>
      </c>
      <c r="E334" s="19">
        <v>11</v>
      </c>
      <c r="F334" s="20">
        <v>0.28033266180290689</v>
      </c>
      <c r="G334" s="21">
        <v>3.0836592798319757</v>
      </c>
      <c r="H334" s="19">
        <v>12</v>
      </c>
      <c r="I334" s="20">
        <v>0.28243533727171671</v>
      </c>
      <c r="J334" s="21">
        <v>3.3892240472606003</v>
      </c>
      <c r="K334" s="21">
        <v>0.51200000000000012</v>
      </c>
      <c r="L334" s="21">
        <v>1.7352827121974277</v>
      </c>
      <c r="M334" s="22" t="s">
        <v>22</v>
      </c>
      <c r="N334" s="22" t="s">
        <v>16</v>
      </c>
      <c r="O334" s="23">
        <v>0.2</v>
      </c>
      <c r="P334" s="20">
        <v>0.98689042994680287</v>
      </c>
    </row>
    <row r="335" spans="1:16">
      <c r="A335" s="16" t="s">
        <v>354</v>
      </c>
      <c r="B335" s="16" t="s">
        <v>593</v>
      </c>
      <c r="C335" s="18" t="s">
        <v>20</v>
      </c>
      <c r="D335" s="18" t="s">
        <v>20</v>
      </c>
      <c r="E335" s="19"/>
      <c r="F335" s="20"/>
      <c r="G335" s="21"/>
      <c r="H335" s="19"/>
      <c r="I335" s="20"/>
      <c r="J335" s="21"/>
      <c r="K335" s="21"/>
      <c r="L335" s="21"/>
      <c r="M335" s="22"/>
      <c r="N335" s="22"/>
      <c r="O335" s="23" t="s">
        <v>14</v>
      </c>
      <c r="P335" s="20"/>
    </row>
    <row r="336" spans="1:16">
      <c r="A336" s="16" t="s">
        <v>355</v>
      </c>
      <c r="B336" s="16" t="s">
        <v>593</v>
      </c>
      <c r="C336" s="18" t="s">
        <v>20</v>
      </c>
      <c r="D336" s="18" t="s">
        <v>27</v>
      </c>
      <c r="E336" s="19">
        <v>20</v>
      </c>
      <c r="F336" s="20">
        <v>0.28323516097794715</v>
      </c>
      <c r="G336" s="21">
        <v>5.6647032195589428</v>
      </c>
      <c r="H336" s="19">
        <v>23</v>
      </c>
      <c r="I336" s="20">
        <v>0.28420601343232443</v>
      </c>
      <c r="J336" s="21">
        <v>6.5367383089434616</v>
      </c>
      <c r="K336" s="21">
        <v>0.51200000000000012</v>
      </c>
      <c r="L336" s="21">
        <v>3.3468100141790531</v>
      </c>
      <c r="M336" s="22" t="s">
        <v>22</v>
      </c>
      <c r="N336" s="22" t="s">
        <v>16</v>
      </c>
      <c r="O336" s="23">
        <v>0.2</v>
      </c>
      <c r="P336" s="20">
        <v>0.9964416411760082</v>
      </c>
    </row>
    <row r="337" spans="1:16">
      <c r="A337" s="16" t="s">
        <v>356</v>
      </c>
      <c r="B337" s="16" t="s">
        <v>593</v>
      </c>
      <c r="C337" s="18" t="s">
        <v>20</v>
      </c>
      <c r="D337" s="18" t="s">
        <v>27</v>
      </c>
      <c r="E337" s="19">
        <v>20</v>
      </c>
      <c r="F337" s="20">
        <v>0.28323516097794715</v>
      </c>
      <c r="G337" s="21">
        <v>5.6647032195589428</v>
      </c>
      <c r="H337" s="19">
        <v>23</v>
      </c>
      <c r="I337" s="20">
        <v>0.28420601343232443</v>
      </c>
      <c r="J337" s="21">
        <v>6.5367383089434616</v>
      </c>
      <c r="K337" s="21">
        <v>0.51200000000000012</v>
      </c>
      <c r="L337" s="21">
        <v>3.3468100141790531</v>
      </c>
      <c r="M337" s="22" t="s">
        <v>22</v>
      </c>
      <c r="N337" s="22" t="s">
        <v>16</v>
      </c>
      <c r="O337" s="23">
        <v>0.2</v>
      </c>
      <c r="P337" s="20">
        <v>0.9964416411760082</v>
      </c>
    </row>
    <row r="338" spans="1:16">
      <c r="A338" s="16" t="s">
        <v>357</v>
      </c>
      <c r="B338" s="16" t="s">
        <v>600</v>
      </c>
      <c r="C338" s="18" t="s">
        <v>20</v>
      </c>
      <c r="D338" s="18" t="s">
        <v>20</v>
      </c>
      <c r="E338" s="19"/>
      <c r="F338" s="20"/>
      <c r="G338" s="21"/>
      <c r="H338" s="19"/>
      <c r="I338" s="20"/>
      <c r="J338" s="21"/>
      <c r="K338" s="21"/>
      <c r="L338" s="21"/>
      <c r="M338" s="22"/>
      <c r="N338" s="22"/>
      <c r="O338" s="23" t="s">
        <v>14</v>
      </c>
      <c r="P338" s="20"/>
    </row>
    <row r="339" spans="1:16">
      <c r="A339" s="16" t="s">
        <v>358</v>
      </c>
      <c r="B339" s="16" t="s">
        <v>600</v>
      </c>
      <c r="C339" s="18" t="s">
        <v>12</v>
      </c>
      <c r="D339" s="18" t="s">
        <v>27</v>
      </c>
      <c r="E339" s="19">
        <v>6</v>
      </c>
      <c r="F339" s="20">
        <v>0.22448856098038172</v>
      </c>
      <c r="G339" s="21">
        <v>1.3469313658822903</v>
      </c>
      <c r="H339" s="19">
        <v>6</v>
      </c>
      <c r="I339" s="20">
        <v>0.22448856098038172</v>
      </c>
      <c r="J339" s="21">
        <v>1.3469313658822903</v>
      </c>
      <c r="K339" s="21">
        <v>0.51200000000000012</v>
      </c>
      <c r="L339" s="21">
        <v>0.68962885933173279</v>
      </c>
      <c r="M339" s="22" t="s">
        <v>18</v>
      </c>
      <c r="N339" s="22" t="s">
        <v>16</v>
      </c>
      <c r="O339" s="23">
        <v>0.4</v>
      </c>
      <c r="P339" s="20">
        <v>0.74826458467225276</v>
      </c>
    </row>
    <row r="340" spans="1:16">
      <c r="A340" s="16" t="s">
        <v>359</v>
      </c>
      <c r="B340" s="16" t="s">
        <v>599</v>
      </c>
      <c r="C340" s="18" t="s">
        <v>20</v>
      </c>
      <c r="D340" s="18" t="s">
        <v>20</v>
      </c>
      <c r="E340" s="19">
        <v>17</v>
      </c>
      <c r="F340" s="20">
        <v>0.29082575402689625</v>
      </c>
      <c r="G340" s="21">
        <v>4.944037818457236</v>
      </c>
      <c r="H340" s="19">
        <v>19</v>
      </c>
      <c r="I340" s="20">
        <v>0.28811006036138115</v>
      </c>
      <c r="J340" s="21">
        <v>5.4740911468662414</v>
      </c>
      <c r="K340" s="21">
        <v>0.51200000000000012</v>
      </c>
      <c r="L340" s="21">
        <v>2.8027346671955162</v>
      </c>
      <c r="M340" s="22" t="s">
        <v>15</v>
      </c>
      <c r="N340" s="22" t="s">
        <v>16</v>
      </c>
      <c r="O340" s="23">
        <v>1</v>
      </c>
      <c r="P340" s="20">
        <v>0.88707355378939245</v>
      </c>
    </row>
    <row r="341" spans="1:16">
      <c r="A341" s="16" t="s">
        <v>360</v>
      </c>
      <c r="B341" s="16" t="s">
        <v>597</v>
      </c>
      <c r="C341" s="18" t="s">
        <v>20</v>
      </c>
      <c r="D341" s="18" t="s">
        <v>20</v>
      </c>
      <c r="E341" s="19">
        <v>20</v>
      </c>
      <c r="F341" s="20">
        <v>0.29628437730310331</v>
      </c>
      <c r="G341" s="21">
        <v>5.9256875460620666</v>
      </c>
      <c r="H341" s="19">
        <v>21</v>
      </c>
      <c r="I341" s="20">
        <v>0.2967263006424139</v>
      </c>
      <c r="J341" s="21">
        <v>6.2312523134906916</v>
      </c>
      <c r="K341" s="21">
        <v>0.51200000000000012</v>
      </c>
      <c r="L341" s="21">
        <v>3.1904011845072349</v>
      </c>
      <c r="M341" s="22" t="s">
        <v>22</v>
      </c>
      <c r="N341" s="22" t="s">
        <v>16</v>
      </c>
      <c r="O341" s="23">
        <v>0.2</v>
      </c>
      <c r="P341" s="20">
        <v>0.99608559232781491</v>
      </c>
    </row>
    <row r="342" spans="1:16">
      <c r="A342" s="16" t="s">
        <v>361</v>
      </c>
      <c r="B342" s="16"/>
      <c r="C342" s="18"/>
      <c r="D342" s="18"/>
      <c r="E342" s="19"/>
      <c r="F342" s="20"/>
      <c r="G342" s="21"/>
      <c r="H342" s="19"/>
      <c r="I342" s="20"/>
      <c r="J342" s="21"/>
      <c r="K342" s="21"/>
      <c r="L342" s="21"/>
      <c r="M342" s="22"/>
      <c r="N342" s="22"/>
      <c r="O342" s="23" t="s">
        <v>14</v>
      </c>
      <c r="P342" s="20"/>
    </row>
    <row r="343" spans="1:16">
      <c r="A343" s="16" t="s">
        <v>362</v>
      </c>
      <c r="B343" s="16" t="s">
        <v>587</v>
      </c>
      <c r="C343" s="18" t="s">
        <v>12</v>
      </c>
      <c r="D343" s="18" t="s">
        <v>13</v>
      </c>
      <c r="E343" s="19">
        <v>7</v>
      </c>
      <c r="F343" s="20">
        <v>0.30556476742862476</v>
      </c>
      <c r="G343" s="21">
        <v>2.1389533720003735</v>
      </c>
      <c r="H343" s="19">
        <v>7</v>
      </c>
      <c r="I343" s="20">
        <v>0.30556476742862476</v>
      </c>
      <c r="J343" s="21">
        <v>2.1389533720003735</v>
      </c>
      <c r="K343" s="21">
        <v>0.51200000000000012</v>
      </c>
      <c r="L343" s="21">
        <v>1.0951441264641915</v>
      </c>
      <c r="M343" s="22" t="s">
        <v>15</v>
      </c>
      <c r="N343" s="22" t="s">
        <v>16</v>
      </c>
      <c r="O343" s="23">
        <v>1</v>
      </c>
      <c r="P343" s="20">
        <v>0.54531827687277212</v>
      </c>
    </row>
    <row r="344" spans="1:16">
      <c r="A344" s="16" t="s">
        <v>363</v>
      </c>
      <c r="B344" s="16" t="s">
        <v>588</v>
      </c>
      <c r="C344" s="18" t="s">
        <v>20</v>
      </c>
      <c r="D344" s="18" t="s">
        <v>20</v>
      </c>
      <c r="E344" s="19">
        <v>15</v>
      </c>
      <c r="F344" s="20">
        <v>0.36169425598386251</v>
      </c>
      <c r="G344" s="21">
        <v>5.4254138397579377</v>
      </c>
      <c r="H344" s="19">
        <v>17</v>
      </c>
      <c r="I344" s="20">
        <v>0.35366442862628517</v>
      </c>
      <c r="J344" s="21">
        <v>6.0122952866468475</v>
      </c>
      <c r="K344" s="21">
        <v>0.51200000000000012</v>
      </c>
      <c r="L344" s="21">
        <v>3.0782951867631865</v>
      </c>
      <c r="M344" s="22" t="s">
        <v>18</v>
      </c>
      <c r="N344" s="22" t="s">
        <v>16</v>
      </c>
      <c r="O344" s="23">
        <v>0.4</v>
      </c>
      <c r="P344" s="20">
        <v>0.98339542968165339</v>
      </c>
    </row>
    <row r="345" spans="1:16">
      <c r="A345" s="16" t="s">
        <v>364</v>
      </c>
      <c r="B345" s="16" t="s">
        <v>587</v>
      </c>
      <c r="C345" s="18" t="s">
        <v>12</v>
      </c>
      <c r="D345" s="18" t="s">
        <v>13</v>
      </c>
      <c r="E345" s="19">
        <v>16</v>
      </c>
      <c r="F345" s="20">
        <v>0.2813166794602851</v>
      </c>
      <c r="G345" s="21">
        <v>4.5010668713645616</v>
      </c>
      <c r="H345" s="19">
        <v>16</v>
      </c>
      <c r="I345" s="20">
        <v>0.2813166794602851</v>
      </c>
      <c r="J345" s="21">
        <v>4.5010668713645616</v>
      </c>
      <c r="K345" s="21">
        <v>0.51200000000000012</v>
      </c>
      <c r="L345" s="21">
        <v>2.3045462381386561</v>
      </c>
      <c r="M345" s="22" t="s">
        <v>18</v>
      </c>
      <c r="N345" s="22" t="s">
        <v>16</v>
      </c>
      <c r="O345" s="23">
        <v>0.4</v>
      </c>
      <c r="P345" s="20">
        <v>0.97075453320980765</v>
      </c>
    </row>
    <row r="346" spans="1:16">
      <c r="A346" s="16" t="s">
        <v>365</v>
      </c>
      <c r="B346" s="16" t="s">
        <v>588</v>
      </c>
      <c r="C346" s="18" t="s">
        <v>20</v>
      </c>
      <c r="D346" s="18" t="s">
        <v>20</v>
      </c>
      <c r="E346" s="19">
        <v>7</v>
      </c>
      <c r="F346" s="20">
        <v>0.28666843147486981</v>
      </c>
      <c r="G346" s="21">
        <v>2.0066790203240887</v>
      </c>
      <c r="H346" s="19">
        <v>9</v>
      </c>
      <c r="I346" s="20">
        <v>0.28817338524588876</v>
      </c>
      <c r="J346" s="21">
        <v>2.593560467212999</v>
      </c>
      <c r="K346" s="21">
        <v>0.51200000000000012</v>
      </c>
      <c r="L346" s="21">
        <v>1.3279029592130558</v>
      </c>
      <c r="M346" s="22" t="s">
        <v>18</v>
      </c>
      <c r="N346" s="22" t="s">
        <v>18</v>
      </c>
      <c r="O346" s="23">
        <v>1</v>
      </c>
      <c r="P346" s="20">
        <v>0.63811728959154923</v>
      </c>
    </row>
    <row r="347" spans="1:16">
      <c r="A347" s="16" t="s">
        <v>366</v>
      </c>
      <c r="B347" s="16" t="s">
        <v>588</v>
      </c>
      <c r="C347" s="18" t="s">
        <v>20</v>
      </c>
      <c r="D347" s="18" t="s">
        <v>20</v>
      </c>
      <c r="E347" s="19">
        <v>7</v>
      </c>
      <c r="F347" s="20">
        <v>0.28666843147486981</v>
      </c>
      <c r="G347" s="21">
        <v>2.0066790203240887</v>
      </c>
      <c r="H347" s="19">
        <v>9</v>
      </c>
      <c r="I347" s="20">
        <v>0.28817338524588876</v>
      </c>
      <c r="J347" s="21">
        <v>2.593560467212999</v>
      </c>
      <c r="K347" s="21">
        <v>0.51200000000000012</v>
      </c>
      <c r="L347" s="21">
        <v>1.3279029592130558</v>
      </c>
      <c r="M347" s="22" t="s">
        <v>18</v>
      </c>
      <c r="N347" s="22" t="s">
        <v>18</v>
      </c>
      <c r="O347" s="23">
        <v>1</v>
      </c>
      <c r="P347" s="20">
        <v>0.63811728959154923</v>
      </c>
    </row>
    <row r="348" spans="1:16">
      <c r="A348" s="16" t="s">
        <v>367</v>
      </c>
      <c r="B348" s="16" t="s">
        <v>588</v>
      </c>
      <c r="C348" s="18" t="s">
        <v>20</v>
      </c>
      <c r="D348" s="18" t="s">
        <v>20</v>
      </c>
      <c r="E348" s="19">
        <v>8</v>
      </c>
      <c r="F348" s="20">
        <v>0.28598136904671806</v>
      </c>
      <c r="G348" s="21">
        <v>2.2878509523737445</v>
      </c>
      <c r="H348" s="19">
        <v>10</v>
      </c>
      <c r="I348" s="20">
        <v>0.28747323992626544</v>
      </c>
      <c r="J348" s="21">
        <v>2.8747323992626543</v>
      </c>
      <c r="K348" s="21">
        <v>0.51200000000000012</v>
      </c>
      <c r="L348" s="21">
        <v>1.4718629884224794</v>
      </c>
      <c r="M348" s="22" t="s">
        <v>18</v>
      </c>
      <c r="N348" s="22" t="s">
        <v>18</v>
      </c>
      <c r="O348" s="23">
        <v>1</v>
      </c>
      <c r="P348" s="20">
        <v>0.6841820019687701</v>
      </c>
    </row>
    <row r="349" spans="1:16">
      <c r="A349" s="16" t="s">
        <v>368</v>
      </c>
      <c r="B349" s="16" t="s">
        <v>592</v>
      </c>
      <c r="C349" s="18" t="s">
        <v>20</v>
      </c>
      <c r="D349" s="18" t="s">
        <v>20</v>
      </c>
      <c r="E349" s="19">
        <v>17</v>
      </c>
      <c r="F349" s="20">
        <v>0.36037121991171867</v>
      </c>
      <c r="G349" s="21">
        <v>6.1263107384992175</v>
      </c>
      <c r="H349" s="19">
        <v>19</v>
      </c>
      <c r="I349" s="20">
        <v>0.35332590449411194</v>
      </c>
      <c r="J349" s="21">
        <v>6.7131921853881273</v>
      </c>
      <c r="K349" s="21">
        <v>0.51200000000000012</v>
      </c>
      <c r="L349" s="21">
        <v>3.4371543989187221</v>
      </c>
      <c r="M349" s="22" t="s">
        <v>18</v>
      </c>
      <c r="N349" s="22" t="s">
        <v>18</v>
      </c>
      <c r="O349" s="23">
        <v>1</v>
      </c>
      <c r="P349" s="20">
        <v>0.92196054077060674</v>
      </c>
    </row>
    <row r="350" spans="1:16">
      <c r="A350" s="16" t="s">
        <v>369</v>
      </c>
      <c r="B350" s="16" t="s">
        <v>588</v>
      </c>
      <c r="C350" s="18" t="s">
        <v>20</v>
      </c>
      <c r="D350" s="18" t="s">
        <v>20</v>
      </c>
      <c r="E350" s="19">
        <v>13</v>
      </c>
      <c r="F350" s="20">
        <v>0.32127440335663859</v>
      </c>
      <c r="G350" s="21">
        <v>4.1765672436363017</v>
      </c>
      <c r="H350" s="19">
        <v>15</v>
      </c>
      <c r="I350" s="20">
        <v>0.31756324603501412</v>
      </c>
      <c r="J350" s="21">
        <v>4.7634486905252116</v>
      </c>
      <c r="K350" s="21">
        <v>0.51200000000000012</v>
      </c>
      <c r="L350" s="21">
        <v>2.4388857295489088</v>
      </c>
      <c r="M350" s="22" t="s">
        <v>18</v>
      </c>
      <c r="N350" s="22" t="s">
        <v>18</v>
      </c>
      <c r="O350" s="23">
        <v>1</v>
      </c>
      <c r="P350" s="20">
        <v>0.85607707916645404</v>
      </c>
    </row>
    <row r="351" spans="1:16">
      <c r="A351" s="16" t="s">
        <v>370</v>
      </c>
      <c r="B351" s="16" t="s">
        <v>598</v>
      </c>
      <c r="C351" s="18" t="s">
        <v>20</v>
      </c>
      <c r="D351" s="18" t="s">
        <v>20</v>
      </c>
      <c r="E351" s="19"/>
      <c r="F351" s="20"/>
      <c r="G351" s="21"/>
      <c r="H351" s="19"/>
      <c r="I351" s="20"/>
      <c r="J351" s="21"/>
      <c r="K351" s="21"/>
      <c r="L351" s="21"/>
      <c r="M351" s="22"/>
      <c r="N351" s="22"/>
      <c r="O351" s="23" t="s">
        <v>14</v>
      </c>
      <c r="P351" s="20"/>
    </row>
    <row r="352" spans="1:16">
      <c r="A352" s="16" t="s">
        <v>371</v>
      </c>
      <c r="B352" s="16" t="s">
        <v>598</v>
      </c>
      <c r="C352" s="18" t="s">
        <v>20</v>
      </c>
      <c r="D352" s="18" t="s">
        <v>27</v>
      </c>
      <c r="E352" s="19">
        <v>7</v>
      </c>
      <c r="F352" s="20">
        <v>0.33258903794254552</v>
      </c>
      <c r="G352" s="21">
        <v>2.3281232655978186</v>
      </c>
      <c r="H352" s="19">
        <v>10</v>
      </c>
      <c r="I352" s="20">
        <v>0.3247593750429274</v>
      </c>
      <c r="J352" s="21">
        <v>3.247593750429274</v>
      </c>
      <c r="K352" s="21">
        <v>0.51200000000000012</v>
      </c>
      <c r="L352" s="21">
        <v>1.6627680002197887</v>
      </c>
      <c r="M352" s="22" t="s">
        <v>18</v>
      </c>
      <c r="N352" s="22" t="s">
        <v>18</v>
      </c>
      <c r="O352" s="23">
        <v>1</v>
      </c>
      <c r="P352" s="20">
        <v>0.73438145861208992</v>
      </c>
    </row>
    <row r="353" spans="1:16">
      <c r="A353" s="16" t="s">
        <v>372</v>
      </c>
      <c r="B353" s="16" t="s">
        <v>598</v>
      </c>
      <c r="C353" s="18" t="s">
        <v>20</v>
      </c>
      <c r="D353" s="18" t="s">
        <v>20</v>
      </c>
      <c r="E353" s="19">
        <v>8</v>
      </c>
      <c r="F353" s="20">
        <v>0.31149413160398265</v>
      </c>
      <c r="G353" s="21">
        <v>2.4919530528318612</v>
      </c>
      <c r="H353" s="19">
        <v>11</v>
      </c>
      <c r="I353" s="20">
        <v>0.31012941251484699</v>
      </c>
      <c r="J353" s="21">
        <v>3.4114235376633171</v>
      </c>
      <c r="K353" s="21">
        <v>0.51200000000000012</v>
      </c>
      <c r="L353" s="21">
        <v>1.7466488512836187</v>
      </c>
      <c r="M353" s="22" t="s">
        <v>18</v>
      </c>
      <c r="N353" s="22" t="s">
        <v>16</v>
      </c>
      <c r="O353" s="23">
        <v>0.4</v>
      </c>
      <c r="P353" s="20">
        <v>0.95016790627620029</v>
      </c>
    </row>
    <row r="354" spans="1:16">
      <c r="A354" s="16" t="s">
        <v>373</v>
      </c>
      <c r="B354" s="16" t="s">
        <v>593</v>
      </c>
      <c r="C354" s="18" t="s">
        <v>20</v>
      </c>
      <c r="D354" s="18" t="s">
        <v>20</v>
      </c>
      <c r="E354" s="19">
        <v>23</v>
      </c>
      <c r="F354" s="20">
        <v>0.31475422137236914</v>
      </c>
      <c r="G354" s="21">
        <v>7.2393470915644897</v>
      </c>
      <c r="H354" s="19">
        <v>25</v>
      </c>
      <c r="I354" s="20">
        <v>0.31304914153813601</v>
      </c>
      <c r="J354" s="21">
        <v>7.8262285384534005</v>
      </c>
      <c r="K354" s="21">
        <v>0.51200000000000012</v>
      </c>
      <c r="L354" s="21">
        <v>4.0070290116881422</v>
      </c>
      <c r="M354" s="22" t="s">
        <v>18</v>
      </c>
      <c r="N354" s="22" t="s">
        <v>18</v>
      </c>
      <c r="O354" s="23">
        <v>1</v>
      </c>
      <c r="P354" s="20">
        <v>0.94137057365228916</v>
      </c>
    </row>
    <row r="355" spans="1:16">
      <c r="A355" s="16" t="s">
        <v>374</v>
      </c>
      <c r="B355" s="16" t="s">
        <v>593</v>
      </c>
      <c r="C355" s="18" t="s">
        <v>20</v>
      </c>
      <c r="D355" s="18" t="s">
        <v>20</v>
      </c>
      <c r="E355" s="19">
        <v>19</v>
      </c>
      <c r="F355" s="20">
        <v>0.32169879126966017</v>
      </c>
      <c r="G355" s="21">
        <v>6.1122770341235428</v>
      </c>
      <c r="H355" s="19">
        <v>21</v>
      </c>
      <c r="I355" s="20">
        <v>0.31900754671487869</v>
      </c>
      <c r="J355" s="21">
        <v>6.6991584810124527</v>
      </c>
      <c r="K355" s="21">
        <v>0.51200000000000012</v>
      </c>
      <c r="L355" s="21">
        <v>3.4299691422783765</v>
      </c>
      <c r="M355" s="22" t="s">
        <v>18</v>
      </c>
      <c r="N355" s="22" t="s">
        <v>18</v>
      </c>
      <c r="O355" s="23">
        <v>1</v>
      </c>
      <c r="P355" s="20">
        <v>0.9216588783707611</v>
      </c>
    </row>
    <row r="356" spans="1:16">
      <c r="A356" s="16" t="s">
        <v>375</v>
      </c>
      <c r="B356" s="16" t="s">
        <v>592</v>
      </c>
      <c r="C356" s="18" t="s">
        <v>20</v>
      </c>
      <c r="D356" s="18" t="s">
        <v>20</v>
      </c>
      <c r="E356" s="19">
        <v>14</v>
      </c>
      <c r="F356" s="20">
        <v>0.24359041346666391</v>
      </c>
      <c r="G356" s="21">
        <v>3.4102657885332945</v>
      </c>
      <c r="H356" s="19">
        <v>16</v>
      </c>
      <c r="I356" s="20">
        <v>0.24982170221388778</v>
      </c>
      <c r="J356" s="21">
        <v>3.9971472354222044</v>
      </c>
      <c r="K356" s="21">
        <v>0.51200000000000012</v>
      </c>
      <c r="L356" s="21">
        <v>2.0465393845361692</v>
      </c>
      <c r="M356" s="22" t="s">
        <v>18</v>
      </c>
      <c r="N356" s="22" t="s">
        <v>18</v>
      </c>
      <c r="O356" s="23">
        <v>1</v>
      </c>
      <c r="P356" s="20">
        <v>0.80725951086833159</v>
      </c>
    </row>
    <row r="357" spans="1:16">
      <c r="A357" s="16" t="s">
        <v>376</v>
      </c>
      <c r="B357" s="16" t="s">
        <v>588</v>
      </c>
      <c r="C357" s="18" t="s">
        <v>20</v>
      </c>
      <c r="D357" s="18" t="s">
        <v>20</v>
      </c>
      <c r="E357" s="19">
        <v>8</v>
      </c>
      <c r="F357" s="20">
        <v>0.26498569469601124</v>
      </c>
      <c r="G357" s="21">
        <v>2.1198855575680899</v>
      </c>
      <c r="H357" s="19">
        <v>10</v>
      </c>
      <c r="I357" s="20">
        <v>0.27067670044569997</v>
      </c>
      <c r="J357" s="21">
        <v>2.7067670044569998</v>
      </c>
      <c r="K357" s="21">
        <v>0.51200000000000012</v>
      </c>
      <c r="L357" s="21">
        <v>1.3858647062819842</v>
      </c>
      <c r="M357" s="22" t="s">
        <v>22</v>
      </c>
      <c r="N357" s="22" t="s">
        <v>18</v>
      </c>
      <c r="O357" s="23">
        <v>0.5</v>
      </c>
      <c r="P357" s="20">
        <v>0.8848255859363775</v>
      </c>
    </row>
    <row r="358" spans="1:16">
      <c r="A358" s="16" t="s">
        <v>377</v>
      </c>
      <c r="B358" s="16" t="s">
        <v>588</v>
      </c>
      <c r="C358" s="18" t="s">
        <v>20</v>
      </c>
      <c r="D358" s="18" t="s">
        <v>20</v>
      </c>
      <c r="E358" s="19">
        <v>8</v>
      </c>
      <c r="F358" s="20">
        <v>0.26498569469601124</v>
      </c>
      <c r="G358" s="21">
        <v>2.1198855575680899</v>
      </c>
      <c r="H358" s="19">
        <v>10</v>
      </c>
      <c r="I358" s="20">
        <v>0.27067670044569997</v>
      </c>
      <c r="J358" s="21">
        <v>2.7067670044569998</v>
      </c>
      <c r="K358" s="21">
        <v>0.51200000000000012</v>
      </c>
      <c r="L358" s="21">
        <v>1.3858647062819842</v>
      </c>
      <c r="M358" s="22" t="s">
        <v>18</v>
      </c>
      <c r="N358" s="22" t="s">
        <v>18</v>
      </c>
      <c r="O358" s="23">
        <v>1</v>
      </c>
      <c r="P358" s="20">
        <v>0.65760706184134554</v>
      </c>
    </row>
    <row r="359" spans="1:16">
      <c r="A359" s="16" t="s">
        <v>378</v>
      </c>
      <c r="B359" s="16"/>
      <c r="C359" s="18"/>
      <c r="D359" s="18"/>
      <c r="E359" s="19"/>
      <c r="F359" s="20"/>
      <c r="G359" s="21"/>
      <c r="H359" s="19"/>
      <c r="I359" s="20"/>
      <c r="J359" s="21"/>
      <c r="K359" s="21"/>
      <c r="L359" s="21"/>
      <c r="M359" s="22"/>
      <c r="N359" s="22"/>
      <c r="O359" s="23" t="s">
        <v>14</v>
      </c>
      <c r="P359" s="20"/>
    </row>
    <row r="360" spans="1:16">
      <c r="A360" s="16" t="s">
        <v>379</v>
      </c>
      <c r="B360" s="16" t="s">
        <v>587</v>
      </c>
      <c r="C360" s="18" t="s">
        <v>12</v>
      </c>
      <c r="D360" s="18" t="s">
        <v>13</v>
      </c>
      <c r="E360" s="19">
        <v>7</v>
      </c>
      <c r="F360" s="20">
        <v>0.30556476742862476</v>
      </c>
      <c r="G360" s="21">
        <v>2.1389533720003735</v>
      </c>
      <c r="H360" s="19">
        <v>7</v>
      </c>
      <c r="I360" s="20">
        <v>0.30556476742862476</v>
      </c>
      <c r="J360" s="21">
        <v>2.1389533720003735</v>
      </c>
      <c r="K360" s="21">
        <v>0.51200000000000012</v>
      </c>
      <c r="L360" s="21">
        <v>1.0951441264641915</v>
      </c>
      <c r="M360" s="22" t="s">
        <v>15</v>
      </c>
      <c r="N360" s="22" t="s">
        <v>16</v>
      </c>
      <c r="O360" s="23">
        <v>1</v>
      </c>
      <c r="P360" s="20">
        <v>0.54531827687277212</v>
      </c>
    </row>
    <row r="361" spans="1:16">
      <c r="A361" s="16" t="s">
        <v>380</v>
      </c>
      <c r="B361" s="16" t="s">
        <v>588</v>
      </c>
      <c r="C361" s="18" t="s">
        <v>20</v>
      </c>
      <c r="D361" s="18" t="s">
        <v>20</v>
      </c>
      <c r="E361" s="19">
        <v>15</v>
      </c>
      <c r="F361" s="20">
        <v>0.36169425598386251</v>
      </c>
      <c r="G361" s="21">
        <v>5.4254138397579377</v>
      </c>
      <c r="H361" s="19">
        <v>16</v>
      </c>
      <c r="I361" s="20">
        <v>0.35818616294916017</v>
      </c>
      <c r="J361" s="21">
        <v>5.7309786071865627</v>
      </c>
      <c r="K361" s="21">
        <v>0.51200000000000012</v>
      </c>
      <c r="L361" s="21">
        <v>2.9342610468795209</v>
      </c>
      <c r="M361" s="22" t="s">
        <v>18</v>
      </c>
      <c r="N361" s="22" t="s">
        <v>16</v>
      </c>
      <c r="O361" s="23">
        <v>0.4</v>
      </c>
      <c r="P361" s="20">
        <v>0.98175575309692154</v>
      </c>
    </row>
    <row r="362" spans="1:16">
      <c r="A362" s="16" t="s">
        <v>381</v>
      </c>
      <c r="B362" s="16" t="s">
        <v>587</v>
      </c>
      <c r="C362" s="18" t="s">
        <v>20</v>
      </c>
      <c r="D362" s="18" t="s">
        <v>20</v>
      </c>
      <c r="E362" s="19">
        <v>7</v>
      </c>
      <c r="F362" s="20">
        <v>0.27790030478763522</v>
      </c>
      <c r="G362" s="21">
        <v>1.9453021335134466</v>
      </c>
      <c r="H362" s="19">
        <v>8</v>
      </c>
      <c r="I362" s="20">
        <v>0.28135836261775893</v>
      </c>
      <c r="J362" s="21">
        <v>2.2508669009420714</v>
      </c>
      <c r="K362" s="21">
        <v>0.51200000000000012</v>
      </c>
      <c r="L362" s="21">
        <v>1.1524438532823409</v>
      </c>
      <c r="M362" s="22" t="s">
        <v>22</v>
      </c>
      <c r="N362" s="22" t="s">
        <v>16</v>
      </c>
      <c r="O362" s="23">
        <v>0.2</v>
      </c>
      <c r="P362" s="20">
        <v>0.97076294464984436</v>
      </c>
    </row>
    <row r="363" spans="1:16">
      <c r="A363" s="16" t="s">
        <v>382</v>
      </c>
      <c r="B363" s="16" t="s">
        <v>598</v>
      </c>
      <c r="C363" s="18" t="s">
        <v>20</v>
      </c>
      <c r="D363" s="18" t="s">
        <v>20</v>
      </c>
      <c r="E363" s="19">
        <v>14</v>
      </c>
      <c r="F363" s="20">
        <v>0.29035157019028246</v>
      </c>
      <c r="G363" s="21">
        <v>4.0649219826639547</v>
      </c>
      <c r="H363" s="19">
        <v>15</v>
      </c>
      <c r="I363" s="20">
        <v>0.2913657833395053</v>
      </c>
      <c r="J363" s="21">
        <v>4.3704867500925797</v>
      </c>
      <c r="K363" s="21">
        <v>0.51200000000000012</v>
      </c>
      <c r="L363" s="21">
        <v>2.2376892160474013</v>
      </c>
      <c r="M363" s="22" t="s">
        <v>22</v>
      </c>
      <c r="N363" s="22" t="s">
        <v>16</v>
      </c>
      <c r="O363" s="23">
        <v>0.2</v>
      </c>
      <c r="P363" s="20">
        <v>0.99207489702197416</v>
      </c>
    </row>
    <row r="364" spans="1:16">
      <c r="A364" s="16" t="s">
        <v>383</v>
      </c>
      <c r="B364" s="16" t="s">
        <v>588</v>
      </c>
      <c r="C364" s="18" t="s">
        <v>20</v>
      </c>
      <c r="D364" s="18" t="s">
        <v>20</v>
      </c>
      <c r="E364" s="19">
        <v>8</v>
      </c>
      <c r="F364" s="20">
        <v>0.26422445391163585</v>
      </c>
      <c r="G364" s="21">
        <v>2.1137956312930868</v>
      </c>
      <c r="H364" s="19">
        <v>9</v>
      </c>
      <c r="I364" s="20">
        <v>0.26881782208019017</v>
      </c>
      <c r="J364" s="21">
        <v>2.4193603987217114</v>
      </c>
      <c r="K364" s="21">
        <v>0.51200000000000012</v>
      </c>
      <c r="L364" s="21">
        <v>1.2387125241455166</v>
      </c>
      <c r="M364" s="22" t="s">
        <v>22</v>
      </c>
      <c r="N364" s="22" t="s">
        <v>16</v>
      </c>
      <c r="O364" s="23">
        <v>0.2</v>
      </c>
      <c r="P364" s="20">
        <v>0.97459363661035092</v>
      </c>
    </row>
    <row r="365" spans="1:16">
      <c r="A365" s="16" t="s">
        <v>384</v>
      </c>
      <c r="B365" s="16" t="s">
        <v>588</v>
      </c>
      <c r="C365" s="18" t="s">
        <v>20</v>
      </c>
      <c r="D365" s="18" t="s">
        <v>20</v>
      </c>
      <c r="E365" s="19">
        <v>9</v>
      </c>
      <c r="F365" s="20">
        <v>0.27024701165122361</v>
      </c>
      <c r="G365" s="21">
        <v>2.4322231048610123</v>
      </c>
      <c r="H365" s="19">
        <v>10</v>
      </c>
      <c r="I365" s="20">
        <v>0.2737787872289637</v>
      </c>
      <c r="J365" s="21">
        <v>2.7377878722896369</v>
      </c>
      <c r="K365" s="21">
        <v>0.51200000000000012</v>
      </c>
      <c r="L365" s="21">
        <v>1.4017473906122944</v>
      </c>
      <c r="M365" s="22" t="s">
        <v>22</v>
      </c>
      <c r="N365" s="22" t="s">
        <v>16</v>
      </c>
      <c r="O365" s="23">
        <v>0.2</v>
      </c>
      <c r="P365" s="20">
        <v>0.98004883792182707</v>
      </c>
    </row>
    <row r="366" spans="1:16">
      <c r="A366" s="16" t="s">
        <v>385</v>
      </c>
      <c r="B366" s="16" t="s">
        <v>587</v>
      </c>
      <c r="C366" s="18" t="s">
        <v>20</v>
      </c>
      <c r="D366" s="18" t="s">
        <v>20</v>
      </c>
      <c r="E366" s="19">
        <v>9</v>
      </c>
      <c r="F366" s="20">
        <v>0.3090876525209833</v>
      </c>
      <c r="G366" s="21">
        <v>2.7817888726888498</v>
      </c>
      <c r="H366" s="19">
        <v>10</v>
      </c>
      <c r="I366" s="20">
        <v>0.30873536401174745</v>
      </c>
      <c r="J366" s="21">
        <v>3.0873536401174744</v>
      </c>
      <c r="K366" s="21">
        <v>0.51200000000000012</v>
      </c>
      <c r="L366" s="21">
        <v>1.5807250637401473</v>
      </c>
      <c r="M366" s="22" t="s">
        <v>22</v>
      </c>
      <c r="N366" s="22" t="s">
        <v>16</v>
      </c>
      <c r="O366" s="23">
        <v>0.2</v>
      </c>
      <c r="P366" s="20">
        <v>0.98424385301593076</v>
      </c>
    </row>
    <row r="367" spans="1:16">
      <c r="A367" s="16" t="s">
        <v>386</v>
      </c>
      <c r="B367" s="16" t="s">
        <v>605</v>
      </c>
      <c r="C367" s="18" t="s">
        <v>20</v>
      </c>
      <c r="D367" s="18" t="s">
        <v>20</v>
      </c>
      <c r="E367" s="19">
        <v>14</v>
      </c>
      <c r="F367" s="20">
        <v>0.26285132680707363</v>
      </c>
      <c r="G367" s="21">
        <v>3.6799185752990309</v>
      </c>
      <c r="H367" s="19">
        <v>15</v>
      </c>
      <c r="I367" s="20">
        <v>0.26569888951517701</v>
      </c>
      <c r="J367" s="21">
        <v>3.985483342727655</v>
      </c>
      <c r="K367" s="21">
        <v>0.51200000000000012</v>
      </c>
      <c r="L367" s="21">
        <v>2.0405674714765598</v>
      </c>
      <c r="M367" s="22" t="s">
        <v>22</v>
      </c>
      <c r="N367" s="22" t="s">
        <v>16</v>
      </c>
      <c r="O367" s="23">
        <v>0.2</v>
      </c>
      <c r="P367" s="20">
        <v>0.99048506113056667</v>
      </c>
    </row>
    <row r="368" spans="1:16">
      <c r="A368" s="16" t="s">
        <v>387</v>
      </c>
      <c r="B368" s="16" t="s">
        <v>596</v>
      </c>
      <c r="C368" s="18" t="s">
        <v>20</v>
      </c>
      <c r="D368" s="18" t="s">
        <v>20</v>
      </c>
      <c r="E368" s="19">
        <v>12</v>
      </c>
      <c r="F368" s="20">
        <v>0.28083582070293761</v>
      </c>
      <c r="G368" s="21">
        <v>3.3700298484352516</v>
      </c>
      <c r="H368" s="19">
        <v>13</v>
      </c>
      <c r="I368" s="20">
        <v>0.28273804737414432</v>
      </c>
      <c r="J368" s="21">
        <v>3.6755946158638761</v>
      </c>
      <c r="K368" s="21">
        <v>0.51200000000000012</v>
      </c>
      <c r="L368" s="21">
        <v>1.8819044433223051</v>
      </c>
      <c r="M368" s="22" t="s">
        <v>15</v>
      </c>
      <c r="N368" s="22" t="s">
        <v>18</v>
      </c>
      <c r="O368" s="23">
        <v>2.5</v>
      </c>
      <c r="P368" s="20">
        <v>0.36169545672822584</v>
      </c>
    </row>
    <row r="369" spans="1:16">
      <c r="A369" s="16" t="s">
        <v>388</v>
      </c>
      <c r="B369" s="16"/>
      <c r="C369" s="18"/>
      <c r="D369" s="18"/>
      <c r="E369" s="19"/>
      <c r="F369" s="20"/>
      <c r="G369" s="21"/>
      <c r="H369" s="19"/>
      <c r="I369" s="20"/>
      <c r="J369" s="21"/>
      <c r="K369" s="21"/>
      <c r="L369" s="21"/>
      <c r="M369" s="22"/>
      <c r="N369" s="22"/>
      <c r="O369" s="23" t="s">
        <v>14</v>
      </c>
      <c r="P369" s="20"/>
    </row>
    <row r="370" spans="1:16">
      <c r="A370" s="16" t="s">
        <v>389</v>
      </c>
      <c r="B370" s="16" t="s">
        <v>587</v>
      </c>
      <c r="C370" s="18" t="s">
        <v>12</v>
      </c>
      <c r="D370" s="18" t="s">
        <v>13</v>
      </c>
      <c r="E370" s="19">
        <v>7</v>
      </c>
      <c r="F370" s="20">
        <v>0.30556476742862476</v>
      </c>
      <c r="G370" s="21">
        <v>2.1389533720003735</v>
      </c>
      <c r="H370" s="19">
        <v>7</v>
      </c>
      <c r="I370" s="20">
        <v>0.30556476742862476</v>
      </c>
      <c r="J370" s="21">
        <v>2.1389533720003735</v>
      </c>
      <c r="K370" s="21">
        <v>0.51200000000000012</v>
      </c>
      <c r="L370" s="21">
        <v>1.0951441264641915</v>
      </c>
      <c r="M370" s="22" t="s">
        <v>15</v>
      </c>
      <c r="N370" s="22" t="s">
        <v>16</v>
      </c>
      <c r="O370" s="23">
        <v>1</v>
      </c>
      <c r="P370" s="20">
        <v>0.54531827687277212</v>
      </c>
    </row>
    <row r="371" spans="1:16">
      <c r="A371" s="16" t="s">
        <v>390</v>
      </c>
      <c r="B371" s="16" t="s">
        <v>588</v>
      </c>
      <c r="C371" s="18" t="s">
        <v>20</v>
      </c>
      <c r="D371" s="18" t="s">
        <v>20</v>
      </c>
      <c r="E371" s="19">
        <v>16</v>
      </c>
      <c r="F371" s="20">
        <v>0.35406117671435328</v>
      </c>
      <c r="G371" s="21">
        <v>5.6649788274296524</v>
      </c>
      <c r="H371" s="19">
        <v>18</v>
      </c>
      <c r="I371" s="20">
        <v>0.3466189495495085</v>
      </c>
      <c r="J371" s="21">
        <v>6.2391410918911534</v>
      </c>
      <c r="K371" s="21">
        <v>0.51200000000000012</v>
      </c>
      <c r="L371" s="21">
        <v>3.1944402390482711</v>
      </c>
      <c r="M371" s="22" t="s">
        <v>18</v>
      </c>
      <c r="N371" s="22" t="s">
        <v>16</v>
      </c>
      <c r="O371" s="23">
        <v>0.4</v>
      </c>
      <c r="P371" s="20">
        <v>0.98456261315658911</v>
      </c>
    </row>
    <row r="372" spans="1:16">
      <c r="A372" s="16" t="s">
        <v>391</v>
      </c>
      <c r="B372" s="16" t="s">
        <v>598</v>
      </c>
      <c r="C372" s="18" t="s">
        <v>20</v>
      </c>
      <c r="D372" s="18" t="s">
        <v>20</v>
      </c>
      <c r="E372" s="19"/>
      <c r="F372" s="20"/>
      <c r="G372" s="21"/>
      <c r="H372" s="19"/>
      <c r="I372" s="20"/>
      <c r="J372" s="21"/>
      <c r="K372" s="21"/>
      <c r="L372" s="21"/>
      <c r="M372" s="22"/>
      <c r="N372" s="22"/>
      <c r="O372" s="23" t="s">
        <v>14</v>
      </c>
      <c r="P372" s="20"/>
    </row>
    <row r="373" spans="1:16">
      <c r="A373" s="16" t="s">
        <v>392</v>
      </c>
      <c r="B373" s="16" t="s">
        <v>595</v>
      </c>
      <c r="C373" s="18" t="s">
        <v>12</v>
      </c>
      <c r="D373" s="18" t="s">
        <v>27</v>
      </c>
      <c r="E373" s="19">
        <v>7</v>
      </c>
      <c r="F373" s="20">
        <v>0.3044538048728031</v>
      </c>
      <c r="G373" s="21">
        <v>2.1311766341096217</v>
      </c>
      <c r="H373" s="19">
        <v>7</v>
      </c>
      <c r="I373" s="20">
        <v>0.3044538048728031</v>
      </c>
      <c r="J373" s="21">
        <v>2.1311766341096217</v>
      </c>
      <c r="K373" s="21">
        <v>0.51200000000000012</v>
      </c>
      <c r="L373" s="21">
        <v>1.0911624366641266</v>
      </c>
      <c r="M373" s="22" t="s">
        <v>18</v>
      </c>
      <c r="N373" s="22" t="s">
        <v>16</v>
      </c>
      <c r="O373" s="23">
        <v>0.4</v>
      </c>
      <c r="P373" s="20">
        <v>0.88153724349686202</v>
      </c>
    </row>
    <row r="374" spans="1:16">
      <c r="A374" s="16" t="s">
        <v>393</v>
      </c>
      <c r="B374" s="16" t="s">
        <v>598</v>
      </c>
      <c r="C374" s="18" t="s">
        <v>20</v>
      </c>
      <c r="D374" s="18" t="s">
        <v>27</v>
      </c>
      <c r="E374" s="19">
        <v>13</v>
      </c>
      <c r="F374" s="20">
        <v>0.32644079518594932</v>
      </c>
      <c r="G374" s="21">
        <v>4.2437303374173414</v>
      </c>
      <c r="H374" s="19">
        <v>17</v>
      </c>
      <c r="I374" s="20">
        <v>0.32051689423162322</v>
      </c>
      <c r="J374" s="21">
        <v>5.4487872019375949</v>
      </c>
      <c r="K374" s="21">
        <v>0.51200000000000012</v>
      </c>
      <c r="L374" s="21">
        <v>2.7897790473920492</v>
      </c>
      <c r="M374" s="22" t="s">
        <v>18</v>
      </c>
      <c r="N374" s="22" t="s">
        <v>18</v>
      </c>
      <c r="O374" s="23">
        <v>1</v>
      </c>
      <c r="P374" s="20">
        <v>0.88614196425536185</v>
      </c>
    </row>
    <row r="375" spans="1:16">
      <c r="A375" s="16" t="s">
        <v>394</v>
      </c>
      <c r="B375" s="16" t="s">
        <v>604</v>
      </c>
      <c r="C375" s="18" t="s">
        <v>20</v>
      </c>
      <c r="D375" s="18" t="s">
        <v>20</v>
      </c>
      <c r="E375" s="19">
        <v>12</v>
      </c>
      <c r="F375" s="20">
        <v>0.32818639197597665</v>
      </c>
      <c r="G375" s="21">
        <v>3.9382367037117199</v>
      </c>
      <c r="H375" s="19">
        <v>16</v>
      </c>
      <c r="I375" s="20">
        <v>0.32145584801449834</v>
      </c>
      <c r="J375" s="21">
        <v>5.1432935682319734</v>
      </c>
      <c r="K375" s="21">
        <v>0.51200000000000012</v>
      </c>
      <c r="L375" s="21">
        <v>2.633366306934771</v>
      </c>
      <c r="M375" s="22" t="s">
        <v>15</v>
      </c>
      <c r="N375" s="22" t="s">
        <v>18</v>
      </c>
      <c r="O375" s="23">
        <v>2.5</v>
      </c>
      <c r="P375" s="20">
        <v>0.52596275830552097</v>
      </c>
    </row>
    <row r="376" spans="1:16">
      <c r="A376" s="16" t="s">
        <v>395</v>
      </c>
      <c r="B376" s="16" t="s">
        <v>589</v>
      </c>
      <c r="C376" s="18" t="s">
        <v>20</v>
      </c>
      <c r="D376" s="18" t="s">
        <v>20</v>
      </c>
      <c r="E376" s="19">
        <v>13</v>
      </c>
      <c r="F376" s="20">
        <v>0.32340018382616853</v>
      </c>
      <c r="G376" s="21">
        <v>4.2042023897401908</v>
      </c>
      <c r="H376" s="19">
        <v>17</v>
      </c>
      <c r="I376" s="20">
        <v>0.31819172083884967</v>
      </c>
      <c r="J376" s="21">
        <v>5.4092592542604443</v>
      </c>
      <c r="K376" s="21">
        <v>0.51200000000000012</v>
      </c>
      <c r="L376" s="21">
        <v>2.7695407381813482</v>
      </c>
      <c r="M376" s="22" t="s">
        <v>15</v>
      </c>
      <c r="N376" s="22" t="s">
        <v>18</v>
      </c>
      <c r="O376" s="23">
        <v>2.5</v>
      </c>
      <c r="P376" s="20">
        <v>0.55101722652078788</v>
      </c>
    </row>
    <row r="377" spans="1:16">
      <c r="A377" s="16" t="s">
        <v>396</v>
      </c>
      <c r="B377" s="16" t="s">
        <v>596</v>
      </c>
      <c r="C377" s="18" t="s">
        <v>12</v>
      </c>
      <c r="D377" s="18" t="s">
        <v>13</v>
      </c>
      <c r="E377" s="19">
        <v>7</v>
      </c>
      <c r="F377" s="20">
        <v>0.26859749703287655</v>
      </c>
      <c r="G377" s="21">
        <v>1.8801824792301358</v>
      </c>
      <c r="H377" s="19">
        <v>7</v>
      </c>
      <c r="I377" s="20">
        <v>0.26859749703287655</v>
      </c>
      <c r="J377" s="21">
        <v>1.8801824792301358</v>
      </c>
      <c r="K377" s="21">
        <v>0.51200000000000012</v>
      </c>
      <c r="L377" s="21">
        <v>0.96265342936582976</v>
      </c>
      <c r="M377" s="22" t="s">
        <v>22</v>
      </c>
      <c r="N377" s="22" t="s">
        <v>18</v>
      </c>
      <c r="O377" s="23">
        <v>0.5</v>
      </c>
      <c r="P377" s="20">
        <v>0.78754172283464641</v>
      </c>
    </row>
    <row r="378" spans="1:16">
      <c r="A378" s="16" t="s">
        <v>397</v>
      </c>
      <c r="B378" s="16" t="s">
        <v>589</v>
      </c>
      <c r="C378" s="18" t="s">
        <v>20</v>
      </c>
      <c r="D378" s="18" t="s">
        <v>20</v>
      </c>
      <c r="E378" s="19">
        <v>13</v>
      </c>
      <c r="F378" s="20">
        <v>0.34778439115665416</v>
      </c>
      <c r="G378" s="21">
        <v>4.521197085036504</v>
      </c>
      <c r="H378" s="19">
        <v>15</v>
      </c>
      <c r="I378" s="20">
        <v>0.33969062329986699</v>
      </c>
      <c r="J378" s="21">
        <v>5.095359349498005</v>
      </c>
      <c r="K378" s="21">
        <v>0.51200000000000012</v>
      </c>
      <c r="L378" s="21">
        <v>2.608823986942979</v>
      </c>
      <c r="M378" s="22" t="s">
        <v>22</v>
      </c>
      <c r="N378" s="22" t="s">
        <v>18</v>
      </c>
      <c r="O378" s="23">
        <v>0.5</v>
      </c>
      <c r="P378" s="20">
        <v>0.96456897317135681</v>
      </c>
    </row>
    <row r="379" spans="1:16">
      <c r="A379" s="16" t="s">
        <v>398</v>
      </c>
      <c r="B379" s="16" t="s">
        <v>593</v>
      </c>
      <c r="C379" s="18" t="s">
        <v>20</v>
      </c>
      <c r="D379" s="18" t="s">
        <v>20</v>
      </c>
      <c r="E379" s="19">
        <v>21</v>
      </c>
      <c r="F379" s="20">
        <v>0.33327757281246106</v>
      </c>
      <c r="G379" s="21">
        <v>6.9988290290616826</v>
      </c>
      <c r="H379" s="19">
        <v>23</v>
      </c>
      <c r="I379" s="20">
        <v>0.32926049102274713</v>
      </c>
      <c r="J379" s="21">
        <v>7.5729912935231836</v>
      </c>
      <c r="K379" s="21">
        <v>0.51200000000000012</v>
      </c>
      <c r="L379" s="21">
        <v>3.8773715422838708</v>
      </c>
      <c r="M379" s="22" t="s">
        <v>22</v>
      </c>
      <c r="N379" s="22" t="s">
        <v>18</v>
      </c>
      <c r="O379" s="23">
        <v>0.5</v>
      </c>
      <c r="P379" s="20">
        <v>0.98364303617035453</v>
      </c>
    </row>
    <row r="380" spans="1:16">
      <c r="A380" s="16" t="s">
        <v>399</v>
      </c>
      <c r="B380" s="16" t="s">
        <v>589</v>
      </c>
      <c r="C380" s="18" t="s">
        <v>20</v>
      </c>
      <c r="D380" s="18" t="s">
        <v>20</v>
      </c>
      <c r="E380" s="19">
        <v>21</v>
      </c>
      <c r="F380" s="20">
        <v>0.28740116355595663</v>
      </c>
      <c r="G380" s="21">
        <v>6.0354244346750896</v>
      </c>
      <c r="H380" s="19">
        <v>23</v>
      </c>
      <c r="I380" s="20">
        <v>0.28737333474506915</v>
      </c>
      <c r="J380" s="21">
        <v>6.6095866991365906</v>
      </c>
      <c r="K380" s="21">
        <v>0.51200000000000012</v>
      </c>
      <c r="L380" s="21">
        <v>3.3841083899579352</v>
      </c>
      <c r="M380" s="22" t="s">
        <v>22</v>
      </c>
      <c r="N380" s="22" t="s">
        <v>18</v>
      </c>
      <c r="O380" s="23">
        <v>0.5</v>
      </c>
      <c r="P380" s="20">
        <v>0.97863647670627674</v>
      </c>
    </row>
    <row r="381" spans="1:16">
      <c r="A381" s="16" t="s">
        <v>400</v>
      </c>
      <c r="B381" s="16"/>
      <c r="C381" s="18"/>
      <c r="D381" s="18"/>
      <c r="E381" s="19"/>
      <c r="F381" s="20"/>
      <c r="G381" s="21"/>
      <c r="H381" s="19"/>
      <c r="I381" s="20"/>
      <c r="J381" s="21"/>
      <c r="K381" s="21"/>
      <c r="L381" s="21"/>
      <c r="M381" s="22"/>
      <c r="N381" s="22"/>
      <c r="O381" s="23" t="s">
        <v>14</v>
      </c>
      <c r="P381" s="20"/>
    </row>
    <row r="382" spans="1:16">
      <c r="A382" s="16" t="s">
        <v>401</v>
      </c>
      <c r="B382" s="16" t="s">
        <v>604</v>
      </c>
      <c r="C382" s="18" t="s">
        <v>20</v>
      </c>
      <c r="D382" s="18" t="s">
        <v>20</v>
      </c>
      <c r="E382" s="19">
        <v>19</v>
      </c>
      <c r="F382" s="20">
        <v>0.31046949106582961</v>
      </c>
      <c r="G382" s="21">
        <v>5.8989203302507622</v>
      </c>
      <c r="H382" s="19">
        <v>20</v>
      </c>
      <c r="I382" s="20">
        <v>0.31081003485143754</v>
      </c>
      <c r="J382" s="21">
        <v>6.2162006970287509</v>
      </c>
      <c r="K382" s="21">
        <v>0.51200000000000012</v>
      </c>
      <c r="L382" s="21">
        <v>3.1826947568787212</v>
      </c>
      <c r="M382" s="22" t="s">
        <v>18</v>
      </c>
      <c r="N382" s="22" t="s">
        <v>16</v>
      </c>
      <c r="O382" s="23">
        <v>0.4</v>
      </c>
      <c r="P382" s="20">
        <v>0.98445023703528556</v>
      </c>
    </row>
    <row r="383" spans="1:16">
      <c r="A383" s="16" t="s">
        <v>402</v>
      </c>
      <c r="B383" s="16" t="s">
        <v>598</v>
      </c>
      <c r="C383" s="18" t="s">
        <v>20</v>
      </c>
      <c r="D383" s="18" t="s">
        <v>20</v>
      </c>
      <c r="E383" s="19">
        <v>12</v>
      </c>
      <c r="F383" s="20">
        <v>0.30240006176712408</v>
      </c>
      <c r="G383" s="21">
        <v>3.628800741205489</v>
      </c>
      <c r="H383" s="19">
        <v>13</v>
      </c>
      <c r="I383" s="20">
        <v>0.30354470061411365</v>
      </c>
      <c r="J383" s="21">
        <v>3.9460811079834777</v>
      </c>
      <c r="K383" s="21">
        <v>0.51200000000000012</v>
      </c>
      <c r="L383" s="21">
        <v>2.0203935272875411</v>
      </c>
      <c r="M383" s="22" t="s">
        <v>15</v>
      </c>
      <c r="N383" s="22" t="s">
        <v>18</v>
      </c>
      <c r="O383" s="23">
        <v>2.5</v>
      </c>
      <c r="P383" s="20">
        <v>0.39508265136612986</v>
      </c>
    </row>
    <row r="384" spans="1:16">
      <c r="A384" s="16" t="s">
        <v>403</v>
      </c>
      <c r="B384" s="16" t="s">
        <v>595</v>
      </c>
      <c r="C384" s="18" t="s">
        <v>12</v>
      </c>
      <c r="D384" s="18" t="s">
        <v>13</v>
      </c>
      <c r="E384" s="19">
        <v>16</v>
      </c>
      <c r="F384" s="20">
        <v>0.31728036677798871</v>
      </c>
      <c r="G384" s="21">
        <v>5.0764858684478193</v>
      </c>
      <c r="H384" s="19">
        <v>16</v>
      </c>
      <c r="I384" s="20">
        <v>0.31728036677798871</v>
      </c>
      <c r="J384" s="21">
        <v>5.0764858684478193</v>
      </c>
      <c r="K384" s="21">
        <v>0.51200000000000012</v>
      </c>
      <c r="L384" s="21">
        <v>2.5991607646452843</v>
      </c>
      <c r="M384" s="22" t="s">
        <v>18</v>
      </c>
      <c r="N384" s="22" t="s">
        <v>16</v>
      </c>
      <c r="O384" s="23">
        <v>0.4</v>
      </c>
      <c r="P384" s="20">
        <v>0.97686402461658928</v>
      </c>
    </row>
    <row r="385" spans="1:16">
      <c r="A385" s="16" t="s">
        <v>404</v>
      </c>
      <c r="B385" s="16"/>
      <c r="C385" s="18"/>
      <c r="D385" s="18"/>
      <c r="E385" s="19"/>
      <c r="F385" s="20"/>
      <c r="G385" s="21"/>
      <c r="H385" s="19"/>
      <c r="I385" s="20"/>
      <c r="J385" s="21"/>
      <c r="K385" s="21"/>
      <c r="L385" s="21"/>
      <c r="M385" s="22"/>
      <c r="N385" s="22"/>
      <c r="O385" s="23" t="s">
        <v>14</v>
      </c>
      <c r="P385" s="20"/>
    </row>
    <row r="386" spans="1:16">
      <c r="A386" s="16" t="s">
        <v>405</v>
      </c>
      <c r="B386" s="16" t="s">
        <v>604</v>
      </c>
      <c r="C386" s="18" t="s">
        <v>20</v>
      </c>
      <c r="D386" s="18" t="s">
        <v>20</v>
      </c>
      <c r="E386" s="19"/>
      <c r="F386" s="20"/>
      <c r="G386" s="21"/>
      <c r="H386" s="19"/>
      <c r="I386" s="20"/>
      <c r="J386" s="21"/>
      <c r="K386" s="21"/>
      <c r="L386" s="21"/>
      <c r="M386" s="22"/>
      <c r="N386" s="22"/>
      <c r="O386" s="23" t="s">
        <v>14</v>
      </c>
      <c r="P386" s="20"/>
    </row>
    <row r="387" spans="1:16">
      <c r="A387" s="16" t="s">
        <v>406</v>
      </c>
      <c r="B387" s="16" t="s">
        <v>590</v>
      </c>
      <c r="C387" s="18" t="s">
        <v>20</v>
      </c>
      <c r="D387" s="18" t="s">
        <v>20</v>
      </c>
      <c r="E387" s="19">
        <v>8</v>
      </c>
      <c r="F387" s="20">
        <v>0.33555313339217152</v>
      </c>
      <c r="G387" s="21">
        <v>2.6844250671373722</v>
      </c>
      <c r="H387" s="19">
        <v>10</v>
      </c>
      <c r="I387" s="20">
        <v>0.26844250671373721</v>
      </c>
      <c r="J387" s="21">
        <v>2.6844250671373722</v>
      </c>
      <c r="K387" s="21">
        <v>0.51200000000000012</v>
      </c>
      <c r="L387" s="21">
        <v>1.3744256343743348</v>
      </c>
      <c r="M387" s="22" t="s">
        <v>22</v>
      </c>
      <c r="N387" s="22" t="s">
        <v>16</v>
      </c>
      <c r="O387" s="23">
        <v>0.2</v>
      </c>
      <c r="P387" s="20">
        <v>0.97926435987495686</v>
      </c>
    </row>
    <row r="388" spans="1:16">
      <c r="A388" s="16" t="s">
        <v>407</v>
      </c>
      <c r="B388" s="16" t="s">
        <v>590</v>
      </c>
      <c r="C388" s="18" t="s">
        <v>20</v>
      </c>
      <c r="D388" s="18" t="s">
        <v>20</v>
      </c>
      <c r="E388" s="19">
        <v>8</v>
      </c>
      <c r="F388" s="20">
        <v>0.33555313339217152</v>
      </c>
      <c r="G388" s="21">
        <v>2.6844250671373722</v>
      </c>
      <c r="H388" s="19">
        <v>10</v>
      </c>
      <c r="I388" s="20">
        <v>0.26844250671373721</v>
      </c>
      <c r="J388" s="21">
        <v>2.6844250671373722</v>
      </c>
      <c r="K388" s="21">
        <v>0.51200000000000012</v>
      </c>
      <c r="L388" s="21">
        <v>1.3744256343743348</v>
      </c>
      <c r="M388" s="22" t="s">
        <v>22</v>
      </c>
      <c r="N388" s="22" t="s">
        <v>16</v>
      </c>
      <c r="O388" s="23">
        <v>0.2</v>
      </c>
      <c r="P388" s="20">
        <v>0.97926435987495686</v>
      </c>
    </row>
    <row r="389" spans="1:16">
      <c r="A389" s="16" t="s">
        <v>408</v>
      </c>
      <c r="B389" s="16" t="s">
        <v>587</v>
      </c>
      <c r="C389" s="18" t="s">
        <v>20</v>
      </c>
      <c r="D389" s="18" t="s">
        <v>20</v>
      </c>
      <c r="E389" s="19"/>
      <c r="F389" s="20"/>
      <c r="G389" s="21"/>
      <c r="H389" s="19"/>
      <c r="I389" s="20"/>
      <c r="J389" s="21"/>
      <c r="K389" s="21"/>
      <c r="L389" s="21"/>
      <c r="M389" s="22"/>
      <c r="N389" s="22"/>
      <c r="O389" s="23" t="s">
        <v>14</v>
      </c>
      <c r="P389" s="20"/>
    </row>
    <row r="390" spans="1:16">
      <c r="A390" s="16" t="s">
        <v>409</v>
      </c>
      <c r="B390" s="16" t="s">
        <v>595</v>
      </c>
      <c r="C390" s="18" t="s">
        <v>20</v>
      </c>
      <c r="D390" s="18" t="s">
        <v>27</v>
      </c>
      <c r="E390" s="19">
        <v>6</v>
      </c>
      <c r="F390" s="20">
        <v>0.29341890447704305</v>
      </c>
      <c r="G390" s="21">
        <v>1.7605134268622584</v>
      </c>
      <c r="H390" s="19">
        <v>13</v>
      </c>
      <c r="I390" s="20">
        <v>0.24596903923191135</v>
      </c>
      <c r="J390" s="21">
        <v>3.1975975100148477</v>
      </c>
      <c r="K390" s="21">
        <v>0.51200000000000012</v>
      </c>
      <c r="L390" s="21">
        <v>1.6371699251276024</v>
      </c>
      <c r="M390" s="22" t="s">
        <v>22</v>
      </c>
      <c r="N390" s="22" t="s">
        <v>16</v>
      </c>
      <c r="O390" s="23">
        <v>0.2</v>
      </c>
      <c r="P390" s="20">
        <v>0.98529587653993989</v>
      </c>
    </row>
    <row r="391" spans="1:16">
      <c r="A391" s="16" t="s">
        <v>410</v>
      </c>
      <c r="B391" s="16" t="s">
        <v>595</v>
      </c>
      <c r="C391" s="18" t="s">
        <v>20</v>
      </c>
      <c r="D391" s="18" t="s">
        <v>27</v>
      </c>
      <c r="E391" s="19">
        <v>6</v>
      </c>
      <c r="F391" s="20">
        <v>0.29341890447704305</v>
      </c>
      <c r="G391" s="21">
        <v>1.7605134268622584</v>
      </c>
      <c r="H391" s="19">
        <v>13</v>
      </c>
      <c r="I391" s="20">
        <v>0.24596903923191135</v>
      </c>
      <c r="J391" s="21">
        <v>3.1975975100148477</v>
      </c>
      <c r="K391" s="21">
        <v>0.51200000000000012</v>
      </c>
      <c r="L391" s="21">
        <v>1.6371699251276024</v>
      </c>
      <c r="M391" s="22" t="s">
        <v>22</v>
      </c>
      <c r="N391" s="22" t="s">
        <v>16</v>
      </c>
      <c r="O391" s="23">
        <v>0.2</v>
      </c>
      <c r="P391" s="20">
        <v>0.98529587653993989</v>
      </c>
    </row>
    <row r="392" spans="1:16">
      <c r="A392" s="16" t="s">
        <v>411</v>
      </c>
      <c r="B392" s="16" t="s">
        <v>595</v>
      </c>
      <c r="C392" s="18" t="s">
        <v>20</v>
      </c>
      <c r="D392" s="18" t="s">
        <v>27</v>
      </c>
      <c r="E392" s="19">
        <v>8</v>
      </c>
      <c r="F392" s="20">
        <v>0.26340846524441708</v>
      </c>
      <c r="G392" s="21">
        <v>2.1072677219553366</v>
      </c>
      <c r="H392" s="19">
        <v>15</v>
      </c>
      <c r="I392" s="20">
        <v>0.2362901203405284</v>
      </c>
      <c r="J392" s="21">
        <v>3.5443518051079259</v>
      </c>
      <c r="K392" s="21">
        <v>0.51200000000000012</v>
      </c>
      <c r="L392" s="21">
        <v>1.8147081242152585</v>
      </c>
      <c r="M392" s="22" t="s">
        <v>22</v>
      </c>
      <c r="N392" s="22" t="s">
        <v>16</v>
      </c>
      <c r="O392" s="23">
        <v>0.2</v>
      </c>
      <c r="P392" s="20">
        <v>0.98799939604353892</v>
      </c>
    </row>
    <row r="393" spans="1:16">
      <c r="A393" s="16" t="s">
        <v>412</v>
      </c>
      <c r="B393" s="16" t="s">
        <v>595</v>
      </c>
      <c r="C393" s="18" t="s">
        <v>20</v>
      </c>
      <c r="D393" s="18" t="s">
        <v>27</v>
      </c>
      <c r="E393" s="19">
        <v>6</v>
      </c>
      <c r="F393" s="20">
        <v>0.29341890447704305</v>
      </c>
      <c r="G393" s="21">
        <v>1.7605134268622584</v>
      </c>
      <c r="H393" s="19">
        <v>13</v>
      </c>
      <c r="I393" s="20">
        <v>0.24596903923191135</v>
      </c>
      <c r="J393" s="21">
        <v>3.1975975100148477</v>
      </c>
      <c r="K393" s="21">
        <v>0.51200000000000012</v>
      </c>
      <c r="L393" s="21">
        <v>1.6371699251276024</v>
      </c>
      <c r="M393" s="22" t="s">
        <v>22</v>
      </c>
      <c r="N393" s="22" t="s">
        <v>16</v>
      </c>
      <c r="O393" s="23">
        <v>0.2</v>
      </c>
      <c r="P393" s="20">
        <v>0.98529587653993989</v>
      </c>
    </row>
    <row r="394" spans="1:16">
      <c r="A394" s="16" t="s">
        <v>413</v>
      </c>
      <c r="B394" s="16" t="s">
        <v>595</v>
      </c>
      <c r="C394" s="18" t="s">
        <v>20</v>
      </c>
      <c r="D394" s="18" t="s">
        <v>27</v>
      </c>
      <c r="E394" s="19">
        <v>6</v>
      </c>
      <c r="F394" s="20">
        <v>0.29341890447704305</v>
      </c>
      <c r="G394" s="21">
        <v>1.7605134268622584</v>
      </c>
      <c r="H394" s="19">
        <v>13</v>
      </c>
      <c r="I394" s="20">
        <v>0.24596903923191135</v>
      </c>
      <c r="J394" s="21">
        <v>3.1975975100148477</v>
      </c>
      <c r="K394" s="21">
        <v>0.51200000000000012</v>
      </c>
      <c r="L394" s="21">
        <v>1.6371699251276024</v>
      </c>
      <c r="M394" s="22" t="s">
        <v>22</v>
      </c>
      <c r="N394" s="22" t="s">
        <v>16</v>
      </c>
      <c r="O394" s="23">
        <v>0.2</v>
      </c>
      <c r="P394" s="20">
        <v>0.98529587653993989</v>
      </c>
    </row>
    <row r="395" spans="1:16">
      <c r="A395" s="16" t="s">
        <v>414</v>
      </c>
      <c r="B395" s="16" t="s">
        <v>595</v>
      </c>
      <c r="C395" s="18" t="s">
        <v>12</v>
      </c>
      <c r="D395" s="18" t="s">
        <v>13</v>
      </c>
      <c r="E395" s="19"/>
      <c r="F395" s="20"/>
      <c r="G395" s="21"/>
      <c r="H395" s="19"/>
      <c r="I395" s="20"/>
      <c r="J395" s="21"/>
      <c r="K395" s="21"/>
      <c r="L395" s="21"/>
      <c r="M395" s="22"/>
      <c r="N395" s="22"/>
      <c r="O395" s="23" t="s">
        <v>14</v>
      </c>
      <c r="P395" s="20"/>
    </row>
    <row r="396" spans="1:16">
      <c r="A396" s="16" t="s">
        <v>415</v>
      </c>
      <c r="B396" s="16" t="s">
        <v>587</v>
      </c>
      <c r="C396" s="18" t="s">
        <v>20</v>
      </c>
      <c r="D396" s="18" t="s">
        <v>27</v>
      </c>
      <c r="E396" s="19">
        <v>7</v>
      </c>
      <c r="F396" s="20">
        <v>0.30216309795445079</v>
      </c>
      <c r="G396" s="21">
        <v>2.1151416856811553</v>
      </c>
      <c r="H396" s="19">
        <v>12</v>
      </c>
      <c r="I396" s="20">
        <v>0.2485870781378112</v>
      </c>
      <c r="J396" s="21">
        <v>2.9830449376537342</v>
      </c>
      <c r="K396" s="21">
        <v>0.51200000000000012</v>
      </c>
      <c r="L396" s="21">
        <v>1.5273190080787122</v>
      </c>
      <c r="M396" s="22" t="s">
        <v>22</v>
      </c>
      <c r="N396" s="22" t="s">
        <v>16</v>
      </c>
      <c r="O396" s="23">
        <v>0.2</v>
      </c>
      <c r="P396" s="20">
        <v>0.98314159249663891</v>
      </c>
    </row>
    <row r="397" spans="1:16">
      <c r="A397" s="16" t="s">
        <v>416</v>
      </c>
      <c r="B397" s="16" t="s">
        <v>587</v>
      </c>
      <c r="C397" s="18" t="s">
        <v>20</v>
      </c>
      <c r="D397" s="18" t="s">
        <v>27</v>
      </c>
      <c r="E397" s="19">
        <v>7</v>
      </c>
      <c r="F397" s="20">
        <v>0.30216309795445079</v>
      </c>
      <c r="G397" s="21">
        <v>2.1151416856811553</v>
      </c>
      <c r="H397" s="19">
        <v>12</v>
      </c>
      <c r="I397" s="20">
        <v>0.2485870781378112</v>
      </c>
      <c r="J397" s="21">
        <v>2.9830449376537342</v>
      </c>
      <c r="K397" s="21">
        <v>0.51200000000000012</v>
      </c>
      <c r="L397" s="21">
        <v>1.5273190080787122</v>
      </c>
      <c r="M397" s="22" t="s">
        <v>22</v>
      </c>
      <c r="N397" s="22" t="s">
        <v>16</v>
      </c>
      <c r="O397" s="23">
        <v>0.2</v>
      </c>
      <c r="P397" s="20">
        <v>0.98314159249663891</v>
      </c>
    </row>
    <row r="398" spans="1:16">
      <c r="A398" s="16" t="s">
        <v>417</v>
      </c>
      <c r="B398" s="16" t="s">
        <v>595</v>
      </c>
      <c r="C398" s="18" t="s">
        <v>20</v>
      </c>
      <c r="D398" s="18" t="s">
        <v>27</v>
      </c>
      <c r="E398" s="19">
        <v>11</v>
      </c>
      <c r="F398" s="20">
        <v>0.26357705606367726</v>
      </c>
      <c r="G398" s="21">
        <v>2.8993476167004499</v>
      </c>
      <c r="H398" s="19">
        <v>16</v>
      </c>
      <c r="I398" s="20">
        <v>0.2354531792920643</v>
      </c>
      <c r="J398" s="21">
        <v>3.7672508686730288</v>
      </c>
      <c r="K398" s="21">
        <v>0.51200000000000012</v>
      </c>
      <c r="L398" s="21">
        <v>1.9288324447605911</v>
      </c>
      <c r="M398" s="22" t="s">
        <v>22</v>
      </c>
      <c r="N398" s="22" t="s">
        <v>16</v>
      </c>
      <c r="O398" s="23">
        <v>0.2</v>
      </c>
      <c r="P398" s="20">
        <v>0.9893628184658031</v>
      </c>
    </row>
    <row r="399" spans="1:16">
      <c r="A399" s="16" t="s">
        <v>418</v>
      </c>
      <c r="B399" s="16" t="s">
        <v>595</v>
      </c>
      <c r="C399" s="18" t="s">
        <v>12</v>
      </c>
      <c r="D399" s="18" t="s">
        <v>13</v>
      </c>
      <c r="E399" s="19"/>
      <c r="F399" s="20"/>
      <c r="G399" s="21"/>
      <c r="H399" s="19"/>
      <c r="I399" s="20"/>
      <c r="J399" s="21"/>
      <c r="K399" s="21"/>
      <c r="L399" s="21"/>
      <c r="M399" s="22"/>
      <c r="N399" s="22"/>
      <c r="O399" s="23" t="s">
        <v>14</v>
      </c>
      <c r="P399" s="20"/>
    </row>
    <row r="400" spans="1:16">
      <c r="A400" s="16" t="s">
        <v>419</v>
      </c>
      <c r="B400" s="16" t="s">
        <v>609</v>
      </c>
      <c r="C400" s="18" t="s">
        <v>20</v>
      </c>
      <c r="D400" s="18" t="s">
        <v>20</v>
      </c>
      <c r="E400" s="19">
        <v>16</v>
      </c>
      <c r="F400" s="20">
        <v>0.29998847941749984</v>
      </c>
      <c r="G400" s="21">
        <v>4.7998156706799975</v>
      </c>
      <c r="H400" s="19">
        <v>18</v>
      </c>
      <c r="I400" s="20">
        <v>0.26665642614888874</v>
      </c>
      <c r="J400" s="21">
        <v>4.7998156706799975</v>
      </c>
      <c r="K400" s="21">
        <v>0.51200000000000012</v>
      </c>
      <c r="L400" s="21">
        <v>2.4575056233881591</v>
      </c>
      <c r="M400" s="22" t="s">
        <v>22</v>
      </c>
      <c r="N400" s="22" t="s">
        <v>16</v>
      </c>
      <c r="O400" s="23">
        <v>0.2</v>
      </c>
      <c r="P400" s="20">
        <v>0.99342033177804578</v>
      </c>
    </row>
    <row r="401" spans="1:16">
      <c r="A401" s="16" t="s">
        <v>420</v>
      </c>
      <c r="B401" s="16" t="s">
        <v>609</v>
      </c>
      <c r="C401" s="18" t="s">
        <v>20</v>
      </c>
      <c r="D401" s="18" t="s">
        <v>20</v>
      </c>
      <c r="E401" s="19">
        <v>16</v>
      </c>
      <c r="F401" s="20">
        <v>0.29998847941749984</v>
      </c>
      <c r="G401" s="21">
        <v>4.7998156706799975</v>
      </c>
      <c r="H401" s="19">
        <v>18</v>
      </c>
      <c r="I401" s="20">
        <v>0.26665642614888874</v>
      </c>
      <c r="J401" s="21">
        <v>4.7998156706799975</v>
      </c>
      <c r="K401" s="21">
        <v>0.51200000000000012</v>
      </c>
      <c r="L401" s="21">
        <v>2.4575056233881591</v>
      </c>
      <c r="M401" s="22" t="s">
        <v>22</v>
      </c>
      <c r="N401" s="22" t="s">
        <v>16</v>
      </c>
      <c r="O401" s="23">
        <v>0.2</v>
      </c>
      <c r="P401" s="20">
        <v>0.99342033177804578</v>
      </c>
    </row>
    <row r="402" spans="1:16">
      <c r="A402" s="16" t="s">
        <v>421</v>
      </c>
      <c r="B402" s="16" t="s">
        <v>609</v>
      </c>
      <c r="C402" s="18" t="s">
        <v>20</v>
      </c>
      <c r="D402" s="18" t="s">
        <v>20</v>
      </c>
      <c r="E402" s="19">
        <v>16</v>
      </c>
      <c r="F402" s="20">
        <v>0.29998847941749984</v>
      </c>
      <c r="G402" s="21">
        <v>4.7998156706799975</v>
      </c>
      <c r="H402" s="19">
        <v>18</v>
      </c>
      <c r="I402" s="20">
        <v>0.26665642614888874</v>
      </c>
      <c r="J402" s="21">
        <v>4.7998156706799975</v>
      </c>
      <c r="K402" s="21">
        <v>0.51200000000000012</v>
      </c>
      <c r="L402" s="21">
        <v>2.4575056233881591</v>
      </c>
      <c r="M402" s="22" t="s">
        <v>22</v>
      </c>
      <c r="N402" s="22" t="s">
        <v>16</v>
      </c>
      <c r="O402" s="23">
        <v>0.2</v>
      </c>
      <c r="P402" s="20">
        <v>0.99342033177804578</v>
      </c>
    </row>
    <row r="403" spans="1:16">
      <c r="A403" s="16" t="s">
        <v>422</v>
      </c>
      <c r="B403" s="16" t="s">
        <v>609</v>
      </c>
      <c r="C403" s="18" t="s">
        <v>20</v>
      </c>
      <c r="D403" s="18" t="s">
        <v>20</v>
      </c>
      <c r="E403" s="19">
        <v>16</v>
      </c>
      <c r="F403" s="20">
        <v>0.29998847941749984</v>
      </c>
      <c r="G403" s="21">
        <v>4.7998156706799975</v>
      </c>
      <c r="H403" s="19">
        <v>18</v>
      </c>
      <c r="I403" s="20">
        <v>0.26665642614888874</v>
      </c>
      <c r="J403" s="21">
        <v>4.7998156706799975</v>
      </c>
      <c r="K403" s="21">
        <v>0.51200000000000012</v>
      </c>
      <c r="L403" s="21">
        <v>2.4575056233881591</v>
      </c>
      <c r="M403" s="22" t="s">
        <v>22</v>
      </c>
      <c r="N403" s="22" t="s">
        <v>16</v>
      </c>
      <c r="O403" s="23">
        <v>0.2</v>
      </c>
      <c r="P403" s="20">
        <v>0.99342033177804578</v>
      </c>
    </row>
    <row r="404" spans="1:16">
      <c r="A404" s="16" t="s">
        <v>423</v>
      </c>
      <c r="B404" s="16"/>
      <c r="C404" s="18"/>
      <c r="D404" s="18"/>
      <c r="E404" s="19"/>
      <c r="F404" s="20"/>
      <c r="G404" s="21"/>
      <c r="H404" s="19"/>
      <c r="I404" s="20"/>
      <c r="J404" s="21"/>
      <c r="K404" s="21"/>
      <c r="L404" s="21"/>
      <c r="M404" s="22"/>
      <c r="N404" s="22"/>
      <c r="O404" s="23" t="s">
        <v>14</v>
      </c>
      <c r="P404" s="20"/>
    </row>
    <row r="405" spans="1:16">
      <c r="A405" s="16" t="s">
        <v>424</v>
      </c>
      <c r="B405" s="16" t="s">
        <v>587</v>
      </c>
      <c r="C405" s="18" t="s">
        <v>12</v>
      </c>
      <c r="D405" s="18" t="s">
        <v>13</v>
      </c>
      <c r="E405" s="19">
        <v>7</v>
      </c>
      <c r="F405" s="20">
        <v>0.30556476742862476</v>
      </c>
      <c r="G405" s="21">
        <v>2.1389533720003735</v>
      </c>
      <c r="H405" s="19">
        <v>7</v>
      </c>
      <c r="I405" s="20">
        <v>0.30556476742862476</v>
      </c>
      <c r="J405" s="21">
        <v>2.1389533720003735</v>
      </c>
      <c r="K405" s="21">
        <v>0.51200000000000012</v>
      </c>
      <c r="L405" s="21">
        <v>1.0951441264641915</v>
      </c>
      <c r="M405" s="22" t="s">
        <v>15</v>
      </c>
      <c r="N405" s="22" t="s">
        <v>16</v>
      </c>
      <c r="O405" s="23">
        <v>1</v>
      </c>
      <c r="P405" s="20">
        <v>0.54531827687277212</v>
      </c>
    </row>
    <row r="406" spans="1:16">
      <c r="A406" s="16" t="s">
        <v>425</v>
      </c>
      <c r="B406" s="16" t="s">
        <v>589</v>
      </c>
      <c r="C406" s="18" t="s">
        <v>20</v>
      </c>
      <c r="D406" s="18" t="s">
        <v>20</v>
      </c>
      <c r="E406" s="19">
        <v>12</v>
      </c>
      <c r="F406" s="20">
        <v>0.33184494327679176</v>
      </c>
      <c r="G406" s="21">
        <v>3.9821393193215009</v>
      </c>
      <c r="H406" s="19">
        <v>14</v>
      </c>
      <c r="I406" s="20">
        <v>0.32700624675051687</v>
      </c>
      <c r="J406" s="21">
        <v>4.5780874545072363</v>
      </c>
      <c r="K406" s="21">
        <v>0.51200000000000012</v>
      </c>
      <c r="L406" s="21">
        <v>2.3439807767077054</v>
      </c>
      <c r="M406" s="22" t="s">
        <v>18</v>
      </c>
      <c r="N406" s="22" t="s">
        <v>16</v>
      </c>
      <c r="O406" s="23">
        <v>0.4</v>
      </c>
      <c r="P406" s="20">
        <v>0.97170268089660361</v>
      </c>
    </row>
    <row r="407" spans="1:16">
      <c r="A407" s="16" t="s">
        <v>426</v>
      </c>
      <c r="B407" s="16" t="s">
        <v>587</v>
      </c>
      <c r="C407" s="18" t="s">
        <v>12</v>
      </c>
      <c r="D407" s="18" t="s">
        <v>13</v>
      </c>
      <c r="E407" s="19">
        <v>10</v>
      </c>
      <c r="F407" s="20">
        <v>0.29038336775711049</v>
      </c>
      <c r="G407" s="21">
        <v>2.9038336775711047</v>
      </c>
      <c r="H407" s="19">
        <v>10</v>
      </c>
      <c r="I407" s="20">
        <v>0.29038336775711049</v>
      </c>
      <c r="J407" s="21">
        <v>2.9038336775711047</v>
      </c>
      <c r="K407" s="21">
        <v>0.51200000000000012</v>
      </c>
      <c r="L407" s="21">
        <v>1.4867628429164059</v>
      </c>
      <c r="M407" s="22" t="s">
        <v>15</v>
      </c>
      <c r="N407" s="22" t="s">
        <v>16</v>
      </c>
      <c r="O407" s="23">
        <v>1</v>
      </c>
      <c r="P407" s="20">
        <v>0.68851852020924587</v>
      </c>
    </row>
    <row r="408" spans="1:16">
      <c r="A408" s="16" t="s">
        <v>427</v>
      </c>
      <c r="B408" s="16" t="s">
        <v>587</v>
      </c>
      <c r="C408" s="18" t="s">
        <v>20</v>
      </c>
      <c r="D408" s="18" t="s">
        <v>20</v>
      </c>
      <c r="E408" s="19">
        <v>9</v>
      </c>
      <c r="F408" s="20">
        <v>0.2984837622622849</v>
      </c>
      <c r="G408" s="21">
        <v>2.6863538603605641</v>
      </c>
      <c r="H408" s="19">
        <v>11</v>
      </c>
      <c r="I408" s="20">
        <v>0.29839109050420903</v>
      </c>
      <c r="J408" s="21">
        <v>3.2823019955462995</v>
      </c>
      <c r="K408" s="21">
        <v>0.51200000000000012</v>
      </c>
      <c r="L408" s="21">
        <v>1.6805386217197058</v>
      </c>
      <c r="M408" s="22" t="s">
        <v>18</v>
      </c>
      <c r="N408" s="22" t="s">
        <v>16</v>
      </c>
      <c r="O408" s="23">
        <v>0.4</v>
      </c>
      <c r="P408" s="20">
        <v>0.94638447132347436</v>
      </c>
    </row>
    <row r="409" spans="1:16">
      <c r="A409" s="16" t="s">
        <v>428</v>
      </c>
      <c r="B409" s="16" t="s">
        <v>598</v>
      </c>
      <c r="C409" s="18" t="s">
        <v>20</v>
      </c>
      <c r="D409" s="18" t="s">
        <v>20</v>
      </c>
      <c r="E409" s="19">
        <v>12</v>
      </c>
      <c r="F409" s="20">
        <v>0.33953829372334093</v>
      </c>
      <c r="G409" s="21">
        <v>4.0744595246800914</v>
      </c>
      <c r="H409" s="19">
        <v>14</v>
      </c>
      <c r="I409" s="20">
        <v>0.33360054713327336</v>
      </c>
      <c r="J409" s="21">
        <v>4.6704076598658268</v>
      </c>
      <c r="K409" s="21">
        <v>0.51200000000000012</v>
      </c>
      <c r="L409" s="21">
        <v>2.3912487218513041</v>
      </c>
      <c r="M409" s="22" t="s">
        <v>18</v>
      </c>
      <c r="N409" s="22" t="s">
        <v>16</v>
      </c>
      <c r="O409" s="23">
        <v>0.4</v>
      </c>
      <c r="P409" s="20">
        <v>0.97278018333266902</v>
      </c>
    </row>
    <row r="410" spans="1:16">
      <c r="A410" s="16" t="s">
        <v>429</v>
      </c>
      <c r="B410" s="16"/>
      <c r="C410" s="18"/>
      <c r="D410" s="18"/>
      <c r="E410" s="19"/>
      <c r="F410" s="20"/>
      <c r="G410" s="21"/>
      <c r="H410" s="19"/>
      <c r="I410" s="20"/>
      <c r="J410" s="21"/>
      <c r="K410" s="21"/>
      <c r="L410" s="21"/>
      <c r="M410" s="22"/>
      <c r="N410" s="22"/>
      <c r="O410" s="23" t="s">
        <v>14</v>
      </c>
      <c r="P410" s="20"/>
    </row>
    <row r="411" spans="1:16">
      <c r="A411" s="16" t="s">
        <v>430</v>
      </c>
      <c r="B411" s="16" t="s">
        <v>595</v>
      </c>
      <c r="C411" s="18" t="s">
        <v>12</v>
      </c>
      <c r="D411" s="18" t="s">
        <v>13</v>
      </c>
      <c r="E411" s="19">
        <v>5</v>
      </c>
      <c r="F411" s="20">
        <v>0.34568082604171163</v>
      </c>
      <c r="G411" s="21">
        <v>1.7284041302085582</v>
      </c>
      <c r="H411" s="19">
        <v>5</v>
      </c>
      <c r="I411" s="20">
        <v>0.34568082604171163</v>
      </c>
      <c r="J411" s="21">
        <v>1.7284041302085582</v>
      </c>
      <c r="K411" s="21">
        <v>0.51200000000000012</v>
      </c>
      <c r="L411" s="21">
        <v>0.88494291466678199</v>
      </c>
      <c r="M411" s="22" t="s">
        <v>18</v>
      </c>
      <c r="N411" s="22" t="s">
        <v>18</v>
      </c>
      <c r="O411" s="23">
        <v>1</v>
      </c>
      <c r="P411" s="20">
        <v>0.43918649449610403</v>
      </c>
    </row>
    <row r="412" spans="1:16">
      <c r="A412" s="16" t="s">
        <v>431</v>
      </c>
      <c r="B412" s="16" t="s">
        <v>598</v>
      </c>
      <c r="C412" s="18" t="s">
        <v>20</v>
      </c>
      <c r="D412" s="18" t="s">
        <v>20</v>
      </c>
      <c r="E412" s="19">
        <v>10</v>
      </c>
      <c r="F412" s="20">
        <v>0.35063979654978084</v>
      </c>
      <c r="G412" s="21">
        <v>3.5063979654978086</v>
      </c>
      <c r="H412" s="19">
        <v>11</v>
      </c>
      <c r="I412" s="20">
        <v>0.35018898104904728</v>
      </c>
      <c r="J412" s="21">
        <v>3.8520787915395198</v>
      </c>
      <c r="K412" s="21">
        <v>0.51200000000000012</v>
      </c>
      <c r="L412" s="21">
        <v>1.9722643412682346</v>
      </c>
      <c r="M412" s="22" t="s">
        <v>18</v>
      </c>
      <c r="N412" s="22" t="s">
        <v>18</v>
      </c>
      <c r="O412" s="23">
        <v>1</v>
      </c>
      <c r="P412" s="20">
        <v>0.79549377201046656</v>
      </c>
    </row>
    <row r="413" spans="1:16">
      <c r="A413" s="16" t="s">
        <v>432</v>
      </c>
      <c r="B413" s="16" t="s">
        <v>598</v>
      </c>
      <c r="C413" s="18" t="s">
        <v>20</v>
      </c>
      <c r="D413" s="18" t="s">
        <v>20</v>
      </c>
      <c r="E413" s="19">
        <v>12</v>
      </c>
      <c r="F413" s="20">
        <v>0.30240006176712408</v>
      </c>
      <c r="G413" s="21">
        <v>3.628800741205489</v>
      </c>
      <c r="H413" s="19">
        <v>13</v>
      </c>
      <c r="I413" s="20">
        <v>0.30572935132670775</v>
      </c>
      <c r="J413" s="21">
        <v>3.9744815672472007</v>
      </c>
      <c r="K413" s="21">
        <v>0.51200000000000012</v>
      </c>
      <c r="L413" s="21">
        <v>2.0349345624305673</v>
      </c>
      <c r="M413" s="22" t="s">
        <v>15</v>
      </c>
      <c r="N413" s="22" t="s">
        <v>18</v>
      </c>
      <c r="O413" s="23">
        <v>2.5</v>
      </c>
      <c r="P413" s="20">
        <v>0.39851555602710331</v>
      </c>
    </row>
    <row r="414" spans="1:16">
      <c r="A414" s="16" t="s">
        <v>433</v>
      </c>
      <c r="B414" s="16" t="s">
        <v>589</v>
      </c>
      <c r="C414" s="18" t="s">
        <v>20</v>
      </c>
      <c r="D414" s="18" t="s">
        <v>20</v>
      </c>
      <c r="E414" s="19">
        <v>12</v>
      </c>
      <c r="F414" s="20">
        <v>0.31631978300408364</v>
      </c>
      <c r="G414" s="21">
        <v>3.7958373960490039</v>
      </c>
      <c r="H414" s="19">
        <v>13</v>
      </c>
      <c r="I414" s="20">
        <v>0.31857832477620884</v>
      </c>
      <c r="J414" s="21">
        <v>4.1415182220907152</v>
      </c>
      <c r="K414" s="21">
        <v>0.51200000000000012</v>
      </c>
      <c r="L414" s="21">
        <v>2.1204573297104465</v>
      </c>
      <c r="M414" s="22" t="s">
        <v>18</v>
      </c>
      <c r="N414" s="22" t="s">
        <v>18</v>
      </c>
      <c r="O414" s="23">
        <v>1</v>
      </c>
      <c r="P414" s="20">
        <v>0.81806072228057747</v>
      </c>
    </row>
    <row r="415" spans="1:16">
      <c r="A415" s="16" t="s">
        <v>434</v>
      </c>
      <c r="B415" s="16" t="s">
        <v>598</v>
      </c>
      <c r="C415" s="18" t="s">
        <v>20</v>
      </c>
      <c r="D415" s="18" t="s">
        <v>20</v>
      </c>
      <c r="E415" s="19">
        <v>11</v>
      </c>
      <c r="F415" s="20">
        <v>0.33441113082580914</v>
      </c>
      <c r="G415" s="21">
        <v>3.6785224390839004</v>
      </c>
      <c r="H415" s="19">
        <v>12</v>
      </c>
      <c r="I415" s="20">
        <v>0.33535027209380103</v>
      </c>
      <c r="J415" s="21">
        <v>4.0242032651256121</v>
      </c>
      <c r="K415" s="21">
        <v>0.51200000000000012</v>
      </c>
      <c r="L415" s="21">
        <v>2.0603920717443138</v>
      </c>
      <c r="M415" s="22" t="s">
        <v>18</v>
      </c>
      <c r="N415" s="22" t="s">
        <v>16</v>
      </c>
      <c r="O415" s="23">
        <v>0.4</v>
      </c>
      <c r="P415" s="20">
        <v>0.96367941582236272</v>
      </c>
    </row>
    <row r="416" spans="1:16">
      <c r="A416" s="16" t="s">
        <v>435</v>
      </c>
      <c r="B416" s="16" t="s">
        <v>604</v>
      </c>
      <c r="C416" s="18" t="s">
        <v>20</v>
      </c>
      <c r="D416" s="18" t="s">
        <v>20</v>
      </c>
      <c r="E416" s="19">
        <v>11</v>
      </c>
      <c r="F416" s="20">
        <v>0.31387658247062517</v>
      </c>
      <c r="G416" s="21">
        <v>3.4526424071768766</v>
      </c>
      <c r="H416" s="19">
        <v>12</v>
      </c>
      <c r="I416" s="20">
        <v>0.31652693610154903</v>
      </c>
      <c r="J416" s="21">
        <v>3.7983232332185883</v>
      </c>
      <c r="K416" s="21">
        <v>0.51200000000000012</v>
      </c>
      <c r="L416" s="21">
        <v>1.9447414954079176</v>
      </c>
      <c r="M416" s="22" t="s">
        <v>18</v>
      </c>
      <c r="N416" s="22" t="s">
        <v>16</v>
      </c>
      <c r="O416" s="23">
        <v>0.4</v>
      </c>
      <c r="P416" s="20">
        <v>0.95941166687506763</v>
      </c>
    </row>
    <row r="417" spans="1:16">
      <c r="A417" s="16" t="s">
        <v>436</v>
      </c>
      <c r="B417" s="16" t="s">
        <v>591</v>
      </c>
      <c r="C417" s="18" t="s">
        <v>20</v>
      </c>
      <c r="D417" s="18" t="s">
        <v>20</v>
      </c>
      <c r="E417" s="19">
        <v>9</v>
      </c>
      <c r="F417" s="20">
        <v>0.32193075120075659</v>
      </c>
      <c r="G417" s="21">
        <v>2.8973767608068095</v>
      </c>
      <c r="H417" s="19">
        <v>10</v>
      </c>
      <c r="I417" s="20">
        <v>0.32430575868485212</v>
      </c>
      <c r="J417" s="21">
        <v>3.2430575868485212</v>
      </c>
      <c r="K417" s="21">
        <v>0.51200000000000012</v>
      </c>
      <c r="L417" s="21">
        <v>1.6604454844664431</v>
      </c>
      <c r="M417" s="22" t="s">
        <v>18</v>
      </c>
      <c r="N417" s="22" t="s">
        <v>16</v>
      </c>
      <c r="O417" s="23">
        <v>0.4</v>
      </c>
      <c r="P417" s="20">
        <v>0.94515061516932342</v>
      </c>
    </row>
    <row r="418" spans="1:16">
      <c r="A418" s="16" t="s">
        <v>437</v>
      </c>
      <c r="B418" s="16"/>
      <c r="C418" s="18"/>
      <c r="D418" s="18"/>
      <c r="E418" s="19"/>
      <c r="F418" s="20"/>
      <c r="G418" s="21"/>
      <c r="H418" s="19"/>
      <c r="I418" s="20"/>
      <c r="J418" s="21"/>
      <c r="K418" s="21"/>
      <c r="L418" s="21"/>
      <c r="M418" s="22"/>
      <c r="N418" s="22"/>
      <c r="O418" s="23" t="s">
        <v>14</v>
      </c>
      <c r="P418" s="20"/>
    </row>
    <row r="419" spans="1:16">
      <c r="A419" s="16" t="s">
        <v>438</v>
      </c>
      <c r="B419" s="16" t="s">
        <v>589</v>
      </c>
      <c r="C419" s="18" t="s">
        <v>20</v>
      </c>
      <c r="D419" s="18" t="s">
        <v>20</v>
      </c>
      <c r="E419" s="19">
        <v>6</v>
      </c>
      <c r="F419" s="20">
        <v>0.28706066146750936</v>
      </c>
      <c r="G419" s="21">
        <v>1.7223639688050563</v>
      </c>
      <c r="H419" s="19">
        <v>6</v>
      </c>
      <c r="I419" s="20">
        <v>0.28706066146750936</v>
      </c>
      <c r="J419" s="21">
        <v>1.7223639688050563</v>
      </c>
      <c r="K419" s="21">
        <v>0.51200000000000012</v>
      </c>
      <c r="L419" s="21">
        <v>0.88185035202818907</v>
      </c>
      <c r="M419" s="22" t="s">
        <v>22</v>
      </c>
      <c r="N419" s="22" t="s">
        <v>16</v>
      </c>
      <c r="O419" s="23">
        <v>0.2</v>
      </c>
      <c r="P419" s="20">
        <v>0.95107991356037191</v>
      </c>
    </row>
    <row r="420" spans="1:16">
      <c r="A420" s="16" t="s">
        <v>439</v>
      </c>
      <c r="B420" s="16" t="s">
        <v>589</v>
      </c>
      <c r="C420" s="18" t="s">
        <v>20</v>
      </c>
      <c r="D420" s="18" t="s">
        <v>20</v>
      </c>
      <c r="E420" s="19">
        <v>6</v>
      </c>
      <c r="F420" s="20">
        <v>0.28706066146750936</v>
      </c>
      <c r="G420" s="21">
        <v>1.7223639688050563</v>
      </c>
      <c r="H420" s="19">
        <v>6</v>
      </c>
      <c r="I420" s="20">
        <v>0.28706066146750936</v>
      </c>
      <c r="J420" s="21">
        <v>1.7223639688050563</v>
      </c>
      <c r="K420" s="21">
        <v>0.51200000000000012</v>
      </c>
      <c r="L420" s="21">
        <v>0.88185035202818907</v>
      </c>
      <c r="M420" s="22" t="s">
        <v>22</v>
      </c>
      <c r="N420" s="22" t="s">
        <v>16</v>
      </c>
      <c r="O420" s="23">
        <v>0.2</v>
      </c>
      <c r="P420" s="20">
        <v>0.95107991356037191</v>
      </c>
    </row>
    <row r="421" spans="1:16">
      <c r="A421" s="16" t="s">
        <v>440</v>
      </c>
      <c r="B421" s="16" t="s">
        <v>593</v>
      </c>
      <c r="C421" s="18" t="s">
        <v>20</v>
      </c>
      <c r="D421" s="18" t="s">
        <v>20</v>
      </c>
      <c r="E421" s="19">
        <v>19</v>
      </c>
      <c r="F421" s="20">
        <v>0.33200917439794159</v>
      </c>
      <c r="G421" s="21">
        <v>6.3081743135608903</v>
      </c>
      <c r="H421" s="19">
        <v>19</v>
      </c>
      <c r="I421" s="20">
        <v>0.33200917439794159</v>
      </c>
      <c r="J421" s="21">
        <v>6.3081743135608903</v>
      </c>
      <c r="K421" s="21">
        <v>0.51200000000000012</v>
      </c>
      <c r="L421" s="21">
        <v>3.2297852485431764</v>
      </c>
      <c r="M421" s="22" t="s">
        <v>18</v>
      </c>
      <c r="N421" s="22" t="s">
        <v>16</v>
      </c>
      <c r="O421" s="23">
        <v>0.4</v>
      </c>
      <c r="P421" s="20">
        <v>0.98489356489947932</v>
      </c>
    </row>
    <row r="422" spans="1:16">
      <c r="A422" s="16" t="s">
        <v>441</v>
      </c>
      <c r="B422" s="16" t="s">
        <v>593</v>
      </c>
      <c r="C422" s="18" t="s">
        <v>20</v>
      </c>
      <c r="D422" s="18" t="s">
        <v>20</v>
      </c>
      <c r="E422" s="19">
        <v>19</v>
      </c>
      <c r="F422" s="20">
        <v>0.33200917439794159</v>
      </c>
      <c r="G422" s="21">
        <v>6.3081743135608903</v>
      </c>
      <c r="H422" s="19">
        <v>19</v>
      </c>
      <c r="I422" s="20">
        <v>0.33200917439794159</v>
      </c>
      <c r="J422" s="21">
        <v>6.3081743135608903</v>
      </c>
      <c r="K422" s="21">
        <v>0.51200000000000012</v>
      </c>
      <c r="L422" s="21">
        <v>3.2297852485431764</v>
      </c>
      <c r="M422" s="22" t="s">
        <v>18</v>
      </c>
      <c r="N422" s="22" t="s">
        <v>16</v>
      </c>
      <c r="O422" s="23">
        <v>0.4</v>
      </c>
      <c r="P422" s="20">
        <v>0.98489356489947932</v>
      </c>
    </row>
    <row r="423" spans="1:16">
      <c r="A423" s="16" t="s">
        <v>442</v>
      </c>
      <c r="B423" s="16" t="s">
        <v>598</v>
      </c>
      <c r="C423" s="18" t="s">
        <v>20</v>
      </c>
      <c r="D423" s="18" t="s">
        <v>20</v>
      </c>
      <c r="E423" s="19">
        <v>12</v>
      </c>
      <c r="F423" s="20">
        <v>0.30240006176712408</v>
      </c>
      <c r="G423" s="21">
        <v>3.628800741205489</v>
      </c>
      <c r="H423" s="19">
        <v>12</v>
      </c>
      <c r="I423" s="20">
        <v>0.30240006176712408</v>
      </c>
      <c r="J423" s="21">
        <v>3.628800741205489</v>
      </c>
      <c r="K423" s="21">
        <v>0.51200000000000012</v>
      </c>
      <c r="L423" s="21">
        <v>1.8579459794972109</v>
      </c>
      <c r="M423" s="22" t="s">
        <v>15</v>
      </c>
      <c r="N423" s="22" t="s">
        <v>18</v>
      </c>
      <c r="O423" s="23">
        <v>2.5</v>
      </c>
      <c r="P423" s="20">
        <v>0.3558004879270763</v>
      </c>
    </row>
    <row r="424" spans="1:16">
      <c r="A424" s="16" t="s">
        <v>443</v>
      </c>
      <c r="B424" s="16"/>
      <c r="C424" s="18"/>
      <c r="D424" s="18"/>
      <c r="E424" s="19"/>
      <c r="F424" s="20"/>
      <c r="G424" s="21"/>
      <c r="H424" s="19"/>
      <c r="I424" s="20"/>
      <c r="J424" s="21"/>
      <c r="K424" s="21"/>
      <c r="L424" s="21"/>
      <c r="M424" s="22"/>
      <c r="N424" s="22"/>
      <c r="O424" s="23" t="s">
        <v>14</v>
      </c>
      <c r="P424" s="20"/>
    </row>
    <row r="425" spans="1:16">
      <c r="A425" s="16" t="s">
        <v>444</v>
      </c>
      <c r="B425" s="16" t="s">
        <v>587</v>
      </c>
      <c r="C425" s="18" t="s">
        <v>20</v>
      </c>
      <c r="D425" s="18" t="s">
        <v>20</v>
      </c>
      <c r="E425" s="19">
        <v>10</v>
      </c>
      <c r="F425" s="20">
        <v>0.31080985114423809</v>
      </c>
      <c r="G425" s="21">
        <v>3.1080985114423809</v>
      </c>
      <c r="H425" s="19">
        <v>10</v>
      </c>
      <c r="I425" s="20">
        <v>0.31080985114423809</v>
      </c>
      <c r="J425" s="21">
        <v>3.1080985114423809</v>
      </c>
      <c r="K425" s="21">
        <v>0.51200000000000012</v>
      </c>
      <c r="L425" s="21">
        <v>1.5913464378584994</v>
      </c>
      <c r="M425" s="22" t="s">
        <v>22</v>
      </c>
      <c r="N425" s="22" t="s">
        <v>16</v>
      </c>
      <c r="O425" s="23">
        <v>0.2</v>
      </c>
      <c r="P425" s="20">
        <v>0.98445021893943263</v>
      </c>
    </row>
    <row r="426" spans="1:16">
      <c r="A426" s="16" t="s">
        <v>445</v>
      </c>
      <c r="B426" s="16" t="s">
        <v>604</v>
      </c>
      <c r="C426" s="18" t="s">
        <v>20</v>
      </c>
      <c r="D426" s="18" t="s">
        <v>20</v>
      </c>
      <c r="E426" s="19">
        <v>11</v>
      </c>
      <c r="F426" s="20">
        <v>0.36304141811963569</v>
      </c>
      <c r="G426" s="21">
        <v>3.9934555993159928</v>
      </c>
      <c r="H426" s="19">
        <v>11</v>
      </c>
      <c r="I426" s="20">
        <v>0.36304141811963569</v>
      </c>
      <c r="J426" s="21">
        <v>3.9934555993159928</v>
      </c>
      <c r="K426" s="21">
        <v>0.51200000000000012</v>
      </c>
      <c r="L426" s="21">
        <v>2.0446492668497886</v>
      </c>
      <c r="M426" s="22" t="s">
        <v>18</v>
      </c>
      <c r="N426" s="22" t="s">
        <v>18</v>
      </c>
      <c r="O426" s="23">
        <v>1</v>
      </c>
      <c r="P426" s="20">
        <v>0.8069718160542465</v>
      </c>
    </row>
    <row r="427" spans="1:16">
      <c r="A427" s="16" t="s">
        <v>446</v>
      </c>
      <c r="B427" s="16" t="s">
        <v>604</v>
      </c>
      <c r="C427" s="18" t="s">
        <v>20</v>
      </c>
      <c r="D427" s="18" t="s">
        <v>20</v>
      </c>
      <c r="E427" s="19">
        <v>14</v>
      </c>
      <c r="F427" s="20">
        <v>0.26510428041301159</v>
      </c>
      <c r="G427" s="21">
        <v>3.7114599257821625</v>
      </c>
      <c r="H427" s="19">
        <v>14</v>
      </c>
      <c r="I427" s="20">
        <v>0.26510428041301159</v>
      </c>
      <c r="J427" s="21">
        <v>3.7114599257821625</v>
      </c>
      <c r="K427" s="21">
        <v>0.51200000000000012</v>
      </c>
      <c r="L427" s="21">
        <v>1.9002674820004677</v>
      </c>
      <c r="M427" s="22" t="s">
        <v>22</v>
      </c>
      <c r="N427" s="22" t="s">
        <v>16</v>
      </c>
      <c r="O427" s="23">
        <v>0.2</v>
      </c>
      <c r="P427" s="20">
        <v>0.98904414702987331</v>
      </c>
    </row>
    <row r="428" spans="1:16">
      <c r="A428" s="16" t="s">
        <v>447</v>
      </c>
      <c r="B428" s="16" t="s">
        <v>604</v>
      </c>
      <c r="C428" s="18" t="s">
        <v>20</v>
      </c>
      <c r="D428" s="18" t="s">
        <v>20</v>
      </c>
      <c r="E428" s="19">
        <v>7</v>
      </c>
      <c r="F428" s="20">
        <v>0.29730106344494367</v>
      </c>
      <c r="G428" s="21">
        <v>2.0811074441146058</v>
      </c>
      <c r="H428" s="19">
        <v>7</v>
      </c>
      <c r="I428" s="20">
        <v>0.29730106344494367</v>
      </c>
      <c r="J428" s="21">
        <v>2.0811074441146058</v>
      </c>
      <c r="K428" s="21">
        <v>0.51200000000000012</v>
      </c>
      <c r="L428" s="21">
        <v>1.0655270113866784</v>
      </c>
      <c r="M428" s="22" t="s">
        <v>22</v>
      </c>
      <c r="N428" s="22" t="s">
        <v>16</v>
      </c>
      <c r="O428" s="23">
        <v>0.2</v>
      </c>
      <c r="P428" s="20">
        <v>0.96596752076977288</v>
      </c>
    </row>
    <row r="429" spans="1:16">
      <c r="A429" s="16" t="s">
        <v>448</v>
      </c>
      <c r="B429" s="16" t="s">
        <v>604</v>
      </c>
      <c r="C429" s="18" t="s">
        <v>20</v>
      </c>
      <c r="D429" s="18" t="s">
        <v>20</v>
      </c>
      <c r="E429" s="19">
        <v>8</v>
      </c>
      <c r="F429" s="20">
        <v>0.3068956587118899</v>
      </c>
      <c r="G429" s="21">
        <v>2.4551652696951192</v>
      </c>
      <c r="H429" s="19">
        <v>8</v>
      </c>
      <c r="I429" s="20">
        <v>0.3068956587118899</v>
      </c>
      <c r="J429" s="21">
        <v>2.4551652696951192</v>
      </c>
      <c r="K429" s="21">
        <v>0.51200000000000012</v>
      </c>
      <c r="L429" s="21">
        <v>1.2570446180839012</v>
      </c>
      <c r="M429" s="22" t="s">
        <v>18</v>
      </c>
      <c r="N429" s="22" t="s">
        <v>16</v>
      </c>
      <c r="O429" s="23">
        <v>0.4</v>
      </c>
      <c r="P429" s="20">
        <v>0.90805449369407509</v>
      </c>
    </row>
    <row r="430" spans="1:16">
      <c r="A430" s="16" t="s">
        <v>449</v>
      </c>
      <c r="B430" s="16" t="s">
        <v>604</v>
      </c>
      <c r="C430" s="18" t="s">
        <v>20</v>
      </c>
      <c r="D430" s="18" t="s">
        <v>20</v>
      </c>
      <c r="E430" s="19">
        <v>11</v>
      </c>
      <c r="F430" s="20">
        <v>0.31429086267314366</v>
      </c>
      <c r="G430" s="21">
        <v>3.4571994894045801</v>
      </c>
      <c r="H430" s="19">
        <v>11</v>
      </c>
      <c r="I430" s="20">
        <v>0.31429086267314366</v>
      </c>
      <c r="J430" s="21">
        <v>3.4571994894045801</v>
      </c>
      <c r="K430" s="21">
        <v>0.51200000000000012</v>
      </c>
      <c r="L430" s="21">
        <v>1.7700861385751454</v>
      </c>
      <c r="M430" s="22" t="s">
        <v>18</v>
      </c>
      <c r="N430" s="22" t="s">
        <v>16</v>
      </c>
      <c r="O430" s="23">
        <v>0.4</v>
      </c>
      <c r="P430" s="20">
        <v>0.95141510989645783</v>
      </c>
    </row>
    <row r="431" spans="1:16">
      <c r="A431" s="16" t="s">
        <v>450</v>
      </c>
      <c r="B431" s="16"/>
      <c r="C431" s="18"/>
      <c r="D431" s="18"/>
      <c r="E431" s="19"/>
      <c r="F431" s="20"/>
      <c r="G431" s="21"/>
      <c r="H431" s="19"/>
      <c r="I431" s="20"/>
      <c r="J431" s="21"/>
      <c r="K431" s="21"/>
      <c r="L431" s="21"/>
      <c r="M431" s="22"/>
      <c r="N431" s="22"/>
      <c r="O431" s="23" t="s">
        <v>14</v>
      </c>
      <c r="P431" s="20"/>
    </row>
    <row r="432" spans="1:16">
      <c r="A432" s="16" t="s">
        <v>451</v>
      </c>
      <c r="B432" s="16" t="s">
        <v>604</v>
      </c>
      <c r="C432" s="18" t="s">
        <v>20</v>
      </c>
      <c r="D432" s="18" t="s">
        <v>20</v>
      </c>
      <c r="E432" s="19">
        <v>10</v>
      </c>
      <c r="F432" s="20">
        <v>0.34302606245882361</v>
      </c>
      <c r="G432" s="21">
        <v>3.4302606245882359</v>
      </c>
      <c r="H432" s="19">
        <v>10</v>
      </c>
      <c r="I432" s="20">
        <v>0.34302606245882361</v>
      </c>
      <c r="J432" s="21">
        <v>3.4302606245882359</v>
      </c>
      <c r="K432" s="21">
        <v>0.51200000000000012</v>
      </c>
      <c r="L432" s="21">
        <v>1.7562934397891772</v>
      </c>
      <c r="M432" s="22" t="s">
        <v>22</v>
      </c>
      <c r="N432" s="22" t="s">
        <v>16</v>
      </c>
      <c r="O432" s="23">
        <v>0.2</v>
      </c>
      <c r="P432" s="20">
        <v>0.98719822473848307</v>
      </c>
    </row>
    <row r="433" spans="1:16">
      <c r="A433" s="16" t="s">
        <v>452</v>
      </c>
      <c r="B433" s="16" t="s">
        <v>604</v>
      </c>
      <c r="C433" s="18" t="s">
        <v>20</v>
      </c>
      <c r="D433" s="18" t="s">
        <v>20</v>
      </c>
      <c r="E433" s="19">
        <v>7</v>
      </c>
      <c r="F433" s="20">
        <v>0.30996714527214742</v>
      </c>
      <c r="G433" s="21">
        <v>2.1697700169050318</v>
      </c>
      <c r="H433" s="19">
        <v>7</v>
      </c>
      <c r="I433" s="20">
        <v>0.30996714527214742</v>
      </c>
      <c r="J433" s="21">
        <v>2.1697700169050318</v>
      </c>
      <c r="K433" s="21">
        <v>0.51200000000000012</v>
      </c>
      <c r="L433" s="21">
        <v>1.1109222486553765</v>
      </c>
      <c r="M433" s="22" t="s">
        <v>22</v>
      </c>
      <c r="N433" s="22" t="s">
        <v>16</v>
      </c>
      <c r="O433" s="23">
        <v>0.2</v>
      </c>
      <c r="P433" s="20">
        <v>0.96860647869378957</v>
      </c>
    </row>
    <row r="434" spans="1:16">
      <c r="A434" s="16" t="s">
        <v>453</v>
      </c>
      <c r="B434" s="16" t="s">
        <v>592</v>
      </c>
      <c r="C434" s="18" t="s">
        <v>20</v>
      </c>
      <c r="D434" s="18" t="s">
        <v>20</v>
      </c>
      <c r="E434" s="19">
        <v>11</v>
      </c>
      <c r="F434" s="20">
        <v>0.35964372316947152</v>
      </c>
      <c r="G434" s="21">
        <v>3.9560809548641869</v>
      </c>
      <c r="H434" s="19">
        <v>11</v>
      </c>
      <c r="I434" s="20">
        <v>0.35964372316947152</v>
      </c>
      <c r="J434" s="21">
        <v>3.9560809548641869</v>
      </c>
      <c r="K434" s="21">
        <v>0.51200000000000012</v>
      </c>
      <c r="L434" s="21">
        <v>2.025513448890464</v>
      </c>
      <c r="M434" s="22" t="s">
        <v>18</v>
      </c>
      <c r="N434" s="22" t="s">
        <v>18</v>
      </c>
      <c r="O434" s="23">
        <v>1</v>
      </c>
      <c r="P434" s="20">
        <v>0.80402550165207032</v>
      </c>
    </row>
    <row r="435" spans="1:16">
      <c r="A435" s="16" t="s">
        <v>454</v>
      </c>
      <c r="B435" s="16" t="s">
        <v>589</v>
      </c>
      <c r="C435" s="18" t="s">
        <v>20</v>
      </c>
      <c r="D435" s="18" t="s">
        <v>20</v>
      </c>
      <c r="E435" s="19">
        <v>14</v>
      </c>
      <c r="F435" s="20">
        <v>0.30521565278947688</v>
      </c>
      <c r="G435" s="21">
        <v>4.2730191390526766</v>
      </c>
      <c r="H435" s="19">
        <v>14</v>
      </c>
      <c r="I435" s="20">
        <v>0.30521565278947688</v>
      </c>
      <c r="J435" s="21">
        <v>4.2730191390526766</v>
      </c>
      <c r="K435" s="21">
        <v>0.51200000000000012</v>
      </c>
      <c r="L435" s="21">
        <v>2.187785799194971</v>
      </c>
      <c r="M435" s="22" t="s">
        <v>22</v>
      </c>
      <c r="N435" s="22" t="s">
        <v>16</v>
      </c>
      <c r="O435" s="23">
        <v>0.2</v>
      </c>
      <c r="P435" s="20">
        <v>0.99171226080599106</v>
      </c>
    </row>
    <row r="436" spans="1:16">
      <c r="A436" s="16" t="s">
        <v>455</v>
      </c>
      <c r="B436" s="16" t="s">
        <v>589</v>
      </c>
      <c r="C436" s="18" t="s">
        <v>20</v>
      </c>
      <c r="D436" s="18" t="s">
        <v>20</v>
      </c>
      <c r="E436" s="19">
        <v>12</v>
      </c>
      <c r="F436" s="20">
        <v>0.30294016139060209</v>
      </c>
      <c r="G436" s="21">
        <v>3.6352819366872251</v>
      </c>
      <c r="H436" s="19">
        <v>12</v>
      </c>
      <c r="I436" s="20">
        <v>0.30294016139060209</v>
      </c>
      <c r="J436" s="21">
        <v>3.6352819366872251</v>
      </c>
      <c r="K436" s="21">
        <v>0.51200000000000012</v>
      </c>
      <c r="L436" s="21">
        <v>1.8612643515838596</v>
      </c>
      <c r="M436" s="22" t="s">
        <v>22</v>
      </c>
      <c r="N436" s="22" t="s">
        <v>16</v>
      </c>
      <c r="O436" s="23">
        <v>0.2</v>
      </c>
      <c r="P436" s="20">
        <v>0.98858546840119221</v>
      </c>
    </row>
    <row r="437" spans="1:16">
      <c r="A437" s="16" t="s">
        <v>456</v>
      </c>
      <c r="B437" s="16" t="s">
        <v>589</v>
      </c>
      <c r="C437" s="18" t="s">
        <v>20</v>
      </c>
      <c r="D437" s="18" t="s">
        <v>20</v>
      </c>
      <c r="E437" s="19">
        <v>12</v>
      </c>
      <c r="F437" s="20">
        <v>0.32040896388450962</v>
      </c>
      <c r="G437" s="21">
        <v>3.8449075666141157</v>
      </c>
      <c r="H437" s="19">
        <v>12</v>
      </c>
      <c r="I437" s="20">
        <v>0.32040896388450962</v>
      </c>
      <c r="J437" s="21">
        <v>3.8449075666141157</v>
      </c>
      <c r="K437" s="21">
        <v>0.51200000000000012</v>
      </c>
      <c r="L437" s="21">
        <v>1.9685926741064277</v>
      </c>
      <c r="M437" s="22" t="s">
        <v>22</v>
      </c>
      <c r="N437" s="22" t="s">
        <v>16</v>
      </c>
      <c r="O437" s="23">
        <v>0.2</v>
      </c>
      <c r="P437" s="20">
        <v>0.98978381822925721</v>
      </c>
    </row>
    <row r="438" spans="1:16">
      <c r="A438" s="16" t="s">
        <v>457</v>
      </c>
      <c r="B438" s="16" t="s">
        <v>598</v>
      </c>
      <c r="C438" s="18" t="s">
        <v>20</v>
      </c>
      <c r="D438" s="18" t="s">
        <v>20</v>
      </c>
      <c r="E438" s="19">
        <v>12</v>
      </c>
      <c r="F438" s="20">
        <v>0.30240006176712408</v>
      </c>
      <c r="G438" s="21">
        <v>3.628800741205489</v>
      </c>
      <c r="H438" s="19">
        <v>12</v>
      </c>
      <c r="I438" s="20">
        <v>0.30240006176712408</v>
      </c>
      <c r="J438" s="21">
        <v>3.628800741205489</v>
      </c>
      <c r="K438" s="21">
        <v>0.51200000000000012</v>
      </c>
      <c r="L438" s="21">
        <v>1.8579459794972109</v>
      </c>
      <c r="M438" s="22" t="s">
        <v>15</v>
      </c>
      <c r="N438" s="22" t="s">
        <v>16</v>
      </c>
      <c r="O438" s="23">
        <v>1</v>
      </c>
      <c r="P438" s="20">
        <v>0.77537999732126694</v>
      </c>
    </row>
    <row r="439" spans="1:16">
      <c r="A439" s="16" t="s">
        <v>458</v>
      </c>
      <c r="B439" s="16"/>
      <c r="C439" s="18"/>
      <c r="D439" s="18"/>
      <c r="E439" s="19"/>
      <c r="F439" s="20"/>
      <c r="G439" s="21"/>
      <c r="H439" s="19"/>
      <c r="I439" s="20"/>
      <c r="J439" s="21"/>
      <c r="K439" s="21"/>
      <c r="L439" s="21"/>
      <c r="M439" s="22"/>
      <c r="N439" s="22"/>
      <c r="O439" s="23" t="s">
        <v>14</v>
      </c>
      <c r="P439" s="20"/>
    </row>
    <row r="440" spans="1:16">
      <c r="A440" s="16" t="s">
        <v>459</v>
      </c>
      <c r="B440" s="16"/>
      <c r="C440" s="18"/>
      <c r="D440" s="18"/>
      <c r="E440" s="19"/>
      <c r="F440" s="20"/>
      <c r="G440" s="21"/>
      <c r="H440" s="19"/>
      <c r="I440" s="20"/>
      <c r="J440" s="21"/>
      <c r="K440" s="21"/>
      <c r="L440" s="21"/>
      <c r="M440" s="22"/>
      <c r="N440" s="22"/>
      <c r="O440" s="23"/>
      <c r="P440" s="20"/>
    </row>
    <row r="441" spans="1:16">
      <c r="A441" s="16" t="s">
        <v>460</v>
      </c>
      <c r="B441" s="16"/>
      <c r="C441" s="18"/>
      <c r="D441" s="18"/>
      <c r="E441" s="19"/>
      <c r="F441" s="20"/>
      <c r="G441" s="21"/>
      <c r="H441" s="19"/>
      <c r="I441" s="20"/>
      <c r="J441" s="21"/>
      <c r="K441" s="21"/>
      <c r="L441" s="21"/>
      <c r="M441" s="22"/>
      <c r="N441" s="22"/>
      <c r="O441" s="23" t="s">
        <v>14</v>
      </c>
      <c r="P441" s="20"/>
    </row>
    <row r="442" spans="1:16">
      <c r="A442" s="16" t="s">
        <v>461</v>
      </c>
      <c r="B442" s="16" t="s">
        <v>589</v>
      </c>
      <c r="C442" s="18" t="s">
        <v>20</v>
      </c>
      <c r="D442" s="18" t="s">
        <v>20</v>
      </c>
      <c r="E442" s="19"/>
      <c r="F442" s="20"/>
      <c r="G442" s="21"/>
      <c r="H442" s="19"/>
      <c r="I442" s="20"/>
      <c r="J442" s="21"/>
      <c r="K442" s="21"/>
      <c r="L442" s="21"/>
      <c r="M442" s="22"/>
      <c r="N442" s="22"/>
      <c r="O442" s="23" t="s">
        <v>14</v>
      </c>
      <c r="P442" s="20"/>
    </row>
    <row r="443" spans="1:16">
      <c r="A443" s="16" t="s">
        <v>462</v>
      </c>
      <c r="B443" s="16" t="s">
        <v>595</v>
      </c>
      <c r="C443" s="18" t="s">
        <v>12</v>
      </c>
      <c r="D443" s="18" t="s">
        <v>27</v>
      </c>
      <c r="E443" s="19">
        <v>8</v>
      </c>
      <c r="F443" s="20">
        <v>0.31738083514769255</v>
      </c>
      <c r="G443" s="21">
        <v>2.5390466811815404</v>
      </c>
      <c r="H443" s="19">
        <v>8</v>
      </c>
      <c r="I443" s="20">
        <v>0.31738083514769255</v>
      </c>
      <c r="J443" s="21">
        <v>2.5390466811815404</v>
      </c>
      <c r="K443" s="21">
        <v>0.51200000000000012</v>
      </c>
      <c r="L443" s="21">
        <v>1.299991900764949</v>
      </c>
      <c r="M443" s="22" t="s">
        <v>22</v>
      </c>
      <c r="N443" s="22" t="s">
        <v>16</v>
      </c>
      <c r="O443" s="23">
        <v>0.2</v>
      </c>
      <c r="P443" s="20">
        <v>0.97687833127465851</v>
      </c>
    </row>
    <row r="444" spans="1:16">
      <c r="A444" s="16" t="s">
        <v>463</v>
      </c>
      <c r="B444" s="16" t="s">
        <v>588</v>
      </c>
      <c r="C444" s="18" t="s">
        <v>20</v>
      </c>
      <c r="D444" s="18" t="s">
        <v>20</v>
      </c>
      <c r="E444" s="19">
        <v>10</v>
      </c>
      <c r="F444" s="20">
        <v>0.30360179636542362</v>
      </c>
      <c r="G444" s="21">
        <v>3.0360179636542362</v>
      </c>
      <c r="H444" s="19">
        <v>13</v>
      </c>
      <c r="I444" s="20">
        <v>0.28121784551317858</v>
      </c>
      <c r="J444" s="21">
        <v>3.6558319916713216</v>
      </c>
      <c r="K444" s="21">
        <v>0.51200000000000012</v>
      </c>
      <c r="L444" s="21">
        <v>1.871785979735717</v>
      </c>
      <c r="M444" s="22" t="s">
        <v>22</v>
      </c>
      <c r="N444" s="22" t="s">
        <v>16</v>
      </c>
      <c r="O444" s="23">
        <v>0.2</v>
      </c>
      <c r="P444" s="20">
        <v>0.98871198931206572</v>
      </c>
    </row>
    <row r="445" spans="1:16">
      <c r="A445" s="16" t="s">
        <v>464</v>
      </c>
      <c r="B445" s="16" t="s">
        <v>595</v>
      </c>
      <c r="C445" s="18" t="s">
        <v>12</v>
      </c>
      <c r="D445" s="18" t="s">
        <v>27</v>
      </c>
      <c r="E445" s="19">
        <v>9</v>
      </c>
      <c r="F445" s="20">
        <v>0.30243319286939285</v>
      </c>
      <c r="G445" s="21">
        <v>2.7218987358245359</v>
      </c>
      <c r="H445" s="19">
        <v>9</v>
      </c>
      <c r="I445" s="20">
        <v>0.30243319286939285</v>
      </c>
      <c r="J445" s="21">
        <v>2.7218987358245359</v>
      </c>
      <c r="K445" s="21">
        <v>0.51200000000000012</v>
      </c>
      <c r="L445" s="21">
        <v>1.3936121527421628</v>
      </c>
      <c r="M445" s="22" t="s">
        <v>22</v>
      </c>
      <c r="N445" s="22" t="s">
        <v>16</v>
      </c>
      <c r="O445" s="23">
        <v>0.2</v>
      </c>
      <c r="P445" s="20">
        <v>0.9798199417377611</v>
      </c>
    </row>
    <row r="446" spans="1:16">
      <c r="A446" s="16" t="s">
        <v>465</v>
      </c>
      <c r="B446" s="16" t="s">
        <v>588</v>
      </c>
      <c r="C446" s="18" t="s">
        <v>20</v>
      </c>
      <c r="D446" s="18" t="s">
        <v>20</v>
      </c>
      <c r="E446" s="19">
        <v>8</v>
      </c>
      <c r="F446" s="20">
        <v>0.31738083514769255</v>
      </c>
      <c r="G446" s="21">
        <v>2.5390466811815404</v>
      </c>
      <c r="H446" s="19">
        <v>11</v>
      </c>
      <c r="I446" s="20">
        <v>0.28716915538169324</v>
      </c>
      <c r="J446" s="21">
        <v>3.1588607091986258</v>
      </c>
      <c r="K446" s="21">
        <v>0.51200000000000012</v>
      </c>
      <c r="L446" s="21">
        <v>1.6173366831096969</v>
      </c>
      <c r="M446" s="22" t="s">
        <v>22</v>
      </c>
      <c r="N446" s="22" t="s">
        <v>16</v>
      </c>
      <c r="O446" s="23">
        <v>0.2</v>
      </c>
      <c r="P446" s="20">
        <v>0.98493849982743131</v>
      </c>
    </row>
    <row r="447" spans="1:16">
      <c r="A447" s="16" t="s">
        <v>466</v>
      </c>
      <c r="B447" s="16" t="s">
        <v>588</v>
      </c>
      <c r="C447" s="18" t="s">
        <v>20</v>
      </c>
      <c r="D447" s="18" t="s">
        <v>20</v>
      </c>
      <c r="E447" s="19">
        <v>9</v>
      </c>
      <c r="F447" s="20">
        <v>0.30243319286939285</v>
      </c>
      <c r="G447" s="21">
        <v>2.7218987358245359</v>
      </c>
      <c r="H447" s="19">
        <v>12</v>
      </c>
      <c r="I447" s="20">
        <v>0.27847606365346844</v>
      </c>
      <c r="J447" s="21">
        <v>3.3417127638416213</v>
      </c>
      <c r="K447" s="21">
        <v>0.51200000000000012</v>
      </c>
      <c r="L447" s="21">
        <v>1.7109569350869105</v>
      </c>
      <c r="M447" s="22" t="s">
        <v>22</v>
      </c>
      <c r="N447" s="22" t="s">
        <v>16</v>
      </c>
      <c r="O447" s="23">
        <v>0.2</v>
      </c>
      <c r="P447" s="20">
        <v>0.98652006624800137</v>
      </c>
    </row>
    <row r="448" spans="1:16">
      <c r="A448" s="16" t="s">
        <v>467</v>
      </c>
      <c r="B448" s="16" t="s">
        <v>588</v>
      </c>
      <c r="C448" s="18" t="s">
        <v>20</v>
      </c>
      <c r="D448" s="18" t="s">
        <v>20</v>
      </c>
      <c r="E448" s="19">
        <v>9</v>
      </c>
      <c r="F448" s="20">
        <v>0.30243319286939285</v>
      </c>
      <c r="G448" s="21">
        <v>2.7218987358245359</v>
      </c>
      <c r="H448" s="19">
        <v>12</v>
      </c>
      <c r="I448" s="20">
        <v>0.27847606365346844</v>
      </c>
      <c r="J448" s="21">
        <v>3.3417127638416213</v>
      </c>
      <c r="K448" s="21">
        <v>0.51200000000000012</v>
      </c>
      <c r="L448" s="21">
        <v>1.7109569350869105</v>
      </c>
      <c r="M448" s="22" t="s">
        <v>22</v>
      </c>
      <c r="N448" s="22" t="s">
        <v>16</v>
      </c>
      <c r="O448" s="23">
        <v>0.2</v>
      </c>
      <c r="P448" s="20">
        <v>0.98652006624800137</v>
      </c>
    </row>
    <row r="449" spans="1:16">
      <c r="A449" s="16" t="s">
        <v>468</v>
      </c>
      <c r="B449" s="16" t="s">
        <v>599</v>
      </c>
      <c r="C449" s="18" t="s">
        <v>20</v>
      </c>
      <c r="D449" s="18" t="s">
        <v>20</v>
      </c>
      <c r="E449" s="19"/>
      <c r="F449" s="20"/>
      <c r="G449" s="21"/>
      <c r="H449" s="19"/>
      <c r="I449" s="20"/>
      <c r="J449" s="21"/>
      <c r="K449" s="21"/>
      <c r="L449" s="21"/>
      <c r="M449" s="22"/>
      <c r="N449" s="22"/>
      <c r="O449" s="23" t="s">
        <v>14</v>
      </c>
      <c r="P449" s="20"/>
    </row>
    <row r="450" spans="1:16">
      <c r="A450" s="16" t="s">
        <v>469</v>
      </c>
      <c r="B450" s="16" t="s">
        <v>599</v>
      </c>
      <c r="C450" s="18" t="s">
        <v>20</v>
      </c>
      <c r="D450" s="18" t="s">
        <v>20</v>
      </c>
      <c r="E450" s="19">
        <v>15</v>
      </c>
      <c r="F450" s="20">
        <v>0.29620569499521854</v>
      </c>
      <c r="G450" s="21">
        <v>4.4430854249282783</v>
      </c>
      <c r="H450" s="19">
        <v>16</v>
      </c>
      <c r="I450" s="20">
        <v>0.27769283905801739</v>
      </c>
      <c r="J450" s="21">
        <v>4.4430854249282783</v>
      </c>
      <c r="K450" s="21">
        <v>0.51200000000000012</v>
      </c>
      <c r="L450" s="21">
        <v>2.2748597375632791</v>
      </c>
      <c r="M450" s="22" t="s">
        <v>18</v>
      </c>
      <c r="N450" s="22" t="s">
        <v>16</v>
      </c>
      <c r="O450" s="23">
        <v>0.4</v>
      </c>
      <c r="P450" s="20">
        <v>0.97000929801126334</v>
      </c>
    </row>
    <row r="451" spans="1:16">
      <c r="A451" s="16" t="s">
        <v>470</v>
      </c>
      <c r="B451" s="16" t="s">
        <v>599</v>
      </c>
      <c r="C451" s="18" t="s">
        <v>20</v>
      </c>
      <c r="D451" s="18" t="s">
        <v>20</v>
      </c>
      <c r="E451" s="19">
        <v>15</v>
      </c>
      <c r="F451" s="20">
        <v>0.29620569499521854</v>
      </c>
      <c r="G451" s="21">
        <v>4.4430854249282783</v>
      </c>
      <c r="H451" s="19">
        <v>16</v>
      </c>
      <c r="I451" s="20">
        <v>0.27769283905801739</v>
      </c>
      <c r="J451" s="21">
        <v>4.4430854249282783</v>
      </c>
      <c r="K451" s="21">
        <v>0.51200000000000012</v>
      </c>
      <c r="L451" s="21">
        <v>2.2748597375632791</v>
      </c>
      <c r="M451" s="22" t="s">
        <v>18</v>
      </c>
      <c r="N451" s="22" t="s">
        <v>16</v>
      </c>
      <c r="O451" s="23">
        <v>0.4</v>
      </c>
      <c r="P451" s="20">
        <v>0.97000929801126334</v>
      </c>
    </row>
    <row r="452" spans="1:16">
      <c r="A452" s="16" t="s">
        <v>471</v>
      </c>
      <c r="B452" s="16" t="s">
        <v>599</v>
      </c>
      <c r="C452" s="18" t="s">
        <v>20</v>
      </c>
      <c r="D452" s="18" t="s">
        <v>20</v>
      </c>
      <c r="E452" s="19">
        <v>15</v>
      </c>
      <c r="F452" s="20">
        <v>0.29620569499521854</v>
      </c>
      <c r="G452" s="21">
        <v>4.4430854249282783</v>
      </c>
      <c r="H452" s="19">
        <v>16</v>
      </c>
      <c r="I452" s="20">
        <v>0.27769283905801739</v>
      </c>
      <c r="J452" s="21">
        <v>4.4430854249282783</v>
      </c>
      <c r="K452" s="21">
        <v>0.51200000000000012</v>
      </c>
      <c r="L452" s="21">
        <v>2.2748597375632791</v>
      </c>
      <c r="M452" s="22" t="s">
        <v>18</v>
      </c>
      <c r="N452" s="22" t="s">
        <v>16</v>
      </c>
      <c r="O452" s="23">
        <v>0.4</v>
      </c>
      <c r="P452" s="20">
        <v>0.97000929801126334</v>
      </c>
    </row>
    <row r="453" spans="1:16">
      <c r="A453" s="16" t="s">
        <v>472</v>
      </c>
      <c r="B453" s="16" t="s">
        <v>593</v>
      </c>
      <c r="C453" s="18" t="s">
        <v>20</v>
      </c>
      <c r="D453" s="18" t="s">
        <v>20</v>
      </c>
      <c r="E453" s="19"/>
      <c r="F453" s="20"/>
      <c r="G453" s="21"/>
      <c r="H453" s="19"/>
      <c r="I453" s="20"/>
      <c r="J453" s="21"/>
      <c r="K453" s="21"/>
      <c r="L453" s="21"/>
      <c r="M453" s="22"/>
      <c r="N453" s="22"/>
      <c r="O453" s="23" t="s">
        <v>14</v>
      </c>
      <c r="P453" s="20"/>
    </row>
    <row r="454" spans="1:16">
      <c r="A454" s="16" t="s">
        <v>473</v>
      </c>
      <c r="B454" s="16" t="s">
        <v>593</v>
      </c>
      <c r="C454" s="18" t="s">
        <v>20</v>
      </c>
      <c r="D454" s="18" t="s">
        <v>20</v>
      </c>
      <c r="E454" s="19">
        <v>17</v>
      </c>
      <c r="F454" s="20">
        <v>0.28176792267646467</v>
      </c>
      <c r="G454" s="21">
        <v>4.7900546854998991</v>
      </c>
      <c r="H454" s="19">
        <v>18</v>
      </c>
      <c r="I454" s="20">
        <v>0.26611414919443882</v>
      </c>
      <c r="J454" s="21">
        <v>4.7900546854998991</v>
      </c>
      <c r="K454" s="21">
        <v>0.51200000000000012</v>
      </c>
      <c r="L454" s="21">
        <v>2.4525079989759488</v>
      </c>
      <c r="M454" s="22" t="s">
        <v>18</v>
      </c>
      <c r="N454" s="22" t="s">
        <v>18</v>
      </c>
      <c r="O454" s="23">
        <v>1</v>
      </c>
      <c r="P454" s="20">
        <v>0.85744416895225373</v>
      </c>
    </row>
    <row r="455" spans="1:16">
      <c r="A455" s="16" t="s">
        <v>474</v>
      </c>
      <c r="B455" s="16" t="s">
        <v>593</v>
      </c>
      <c r="C455" s="18" t="s">
        <v>20</v>
      </c>
      <c r="D455" s="18" t="s">
        <v>20</v>
      </c>
      <c r="E455" s="19">
        <v>17</v>
      </c>
      <c r="F455" s="20">
        <v>0.28176792267646467</v>
      </c>
      <c r="G455" s="21">
        <v>4.7900546854998991</v>
      </c>
      <c r="H455" s="19">
        <v>18</v>
      </c>
      <c r="I455" s="20">
        <v>0.26611414919443882</v>
      </c>
      <c r="J455" s="21">
        <v>4.7900546854998991</v>
      </c>
      <c r="K455" s="21">
        <v>0.51200000000000012</v>
      </c>
      <c r="L455" s="21">
        <v>2.4525079989759488</v>
      </c>
      <c r="M455" s="22" t="s">
        <v>18</v>
      </c>
      <c r="N455" s="22" t="s">
        <v>18</v>
      </c>
      <c r="O455" s="23">
        <v>1</v>
      </c>
      <c r="P455" s="20">
        <v>0.85744416895225373</v>
      </c>
    </row>
    <row r="456" spans="1:16">
      <c r="A456" s="16" t="s">
        <v>475</v>
      </c>
      <c r="B456" s="16" t="s">
        <v>600</v>
      </c>
      <c r="C456" s="18" t="s">
        <v>12</v>
      </c>
      <c r="D456" s="18" t="s">
        <v>13</v>
      </c>
      <c r="E456" s="19"/>
      <c r="F456" s="20"/>
      <c r="G456" s="21"/>
      <c r="H456" s="19"/>
      <c r="I456" s="20"/>
      <c r="J456" s="21"/>
      <c r="K456" s="21"/>
      <c r="L456" s="21"/>
      <c r="M456" s="22"/>
      <c r="N456" s="22"/>
      <c r="O456" s="23" t="s">
        <v>14</v>
      </c>
      <c r="P456" s="20"/>
    </row>
    <row r="457" spans="1:16">
      <c r="A457" s="16" t="s">
        <v>476</v>
      </c>
      <c r="B457" s="16" t="s">
        <v>600</v>
      </c>
      <c r="C457" s="18" t="s">
        <v>12</v>
      </c>
      <c r="D457" s="18" t="s">
        <v>27</v>
      </c>
      <c r="E457" s="19">
        <v>6</v>
      </c>
      <c r="F457" s="20">
        <v>0.22448856098038172</v>
      </c>
      <c r="G457" s="21">
        <v>1.3469313658822903</v>
      </c>
      <c r="H457" s="19">
        <v>6</v>
      </c>
      <c r="I457" s="20">
        <v>0.22448856098038172</v>
      </c>
      <c r="J457" s="21">
        <v>1.3469313658822903</v>
      </c>
      <c r="K457" s="21">
        <v>0.51200000000000012</v>
      </c>
      <c r="L457" s="21">
        <v>0.68962885933173279</v>
      </c>
      <c r="M457" s="22" t="s">
        <v>18</v>
      </c>
      <c r="N457" s="22" t="s">
        <v>16</v>
      </c>
      <c r="O457" s="23">
        <v>0.4</v>
      </c>
      <c r="P457" s="20">
        <v>0.74826458467225276</v>
      </c>
    </row>
    <row r="458" spans="1:16">
      <c r="A458" s="16" t="s">
        <v>477</v>
      </c>
      <c r="B458" s="16" t="s">
        <v>599</v>
      </c>
      <c r="C458" s="18" t="s">
        <v>20</v>
      </c>
      <c r="D458" s="18" t="s">
        <v>20</v>
      </c>
      <c r="E458" s="19">
        <v>17</v>
      </c>
      <c r="F458" s="20">
        <v>0.29082575402689625</v>
      </c>
      <c r="G458" s="21">
        <v>4.944037818457236</v>
      </c>
      <c r="H458" s="19">
        <v>20</v>
      </c>
      <c r="I458" s="20">
        <v>0.27049883095039939</v>
      </c>
      <c r="J458" s="21">
        <v>5.4099766190079883</v>
      </c>
      <c r="K458" s="21">
        <v>0.51200000000000012</v>
      </c>
      <c r="L458" s="21">
        <v>2.7699080289320905</v>
      </c>
      <c r="M458" s="22" t="s">
        <v>15</v>
      </c>
      <c r="N458" s="22" t="s">
        <v>16</v>
      </c>
      <c r="O458" s="23">
        <v>1</v>
      </c>
      <c r="P458" s="20">
        <v>0.88469153905165032</v>
      </c>
    </row>
    <row r="459" spans="1:16">
      <c r="A459" s="16" t="s">
        <v>478</v>
      </c>
      <c r="B459" s="16" t="s">
        <v>600</v>
      </c>
      <c r="C459" s="18" t="s">
        <v>12</v>
      </c>
      <c r="D459" s="18" t="s">
        <v>27</v>
      </c>
      <c r="E459" s="19">
        <v>6</v>
      </c>
      <c r="F459" s="20">
        <v>0.24145023957037037</v>
      </c>
      <c r="G459" s="21">
        <v>1.4487014374222222</v>
      </c>
      <c r="H459" s="19">
        <v>6</v>
      </c>
      <c r="I459" s="20">
        <v>0.24145023957037037</v>
      </c>
      <c r="J459" s="21">
        <v>1.4487014374222222</v>
      </c>
      <c r="K459" s="21">
        <v>0.51200000000000012</v>
      </c>
      <c r="L459" s="21">
        <v>0.74173513596017793</v>
      </c>
      <c r="M459" s="22" t="s">
        <v>18</v>
      </c>
      <c r="N459" s="22" t="s">
        <v>16</v>
      </c>
      <c r="O459" s="23">
        <v>0.4</v>
      </c>
      <c r="P459" s="20">
        <v>0.7747021529815622</v>
      </c>
    </row>
    <row r="460" spans="1:16">
      <c r="A460" s="16" t="s">
        <v>479</v>
      </c>
      <c r="B460" s="16" t="s">
        <v>597</v>
      </c>
      <c r="C460" s="18" t="s">
        <v>20</v>
      </c>
      <c r="D460" s="18" t="s">
        <v>20</v>
      </c>
      <c r="E460" s="19">
        <v>21</v>
      </c>
      <c r="F460" s="20">
        <v>0.30805054689451633</v>
      </c>
      <c r="G460" s="21">
        <v>6.4690614847848433</v>
      </c>
      <c r="H460" s="19">
        <v>22</v>
      </c>
      <c r="I460" s="20">
        <v>0.29404824930840195</v>
      </c>
      <c r="J460" s="21">
        <v>6.4690614847848433</v>
      </c>
      <c r="K460" s="21">
        <v>0.51200000000000012</v>
      </c>
      <c r="L460" s="21">
        <v>3.3121594802098406</v>
      </c>
      <c r="M460" s="22" t="s">
        <v>22</v>
      </c>
      <c r="N460" s="22" t="s">
        <v>16</v>
      </c>
      <c r="O460" s="23">
        <v>0.2</v>
      </c>
      <c r="P460" s="20">
        <v>0.99636707127210145</v>
      </c>
    </row>
    <row r="461" spans="1:16">
      <c r="A461" s="16" t="s">
        <v>480</v>
      </c>
      <c r="B461" s="16"/>
      <c r="C461" s="18"/>
      <c r="D461" s="18"/>
      <c r="E461" s="19"/>
      <c r="F461" s="20"/>
      <c r="G461" s="21"/>
      <c r="H461" s="19"/>
      <c r="I461" s="20"/>
      <c r="J461" s="21"/>
      <c r="K461" s="21"/>
      <c r="L461" s="21"/>
      <c r="M461" s="22"/>
      <c r="N461" s="22"/>
      <c r="O461" s="23" t="s">
        <v>14</v>
      </c>
      <c r="P461" s="20"/>
    </row>
    <row r="462" spans="1:16">
      <c r="A462" s="16" t="s">
        <v>481</v>
      </c>
      <c r="B462" s="16" t="s">
        <v>598</v>
      </c>
      <c r="C462" s="18" t="s">
        <v>20</v>
      </c>
      <c r="D462" s="18" t="s">
        <v>20</v>
      </c>
      <c r="E462" s="19">
        <v>8</v>
      </c>
      <c r="F462" s="20">
        <v>0.33081928969739183</v>
      </c>
      <c r="G462" s="21">
        <v>2.6465543175791346</v>
      </c>
      <c r="H462" s="19">
        <v>8</v>
      </c>
      <c r="I462" s="20">
        <v>0.33081928969739183</v>
      </c>
      <c r="J462" s="21">
        <v>2.6465543175791346</v>
      </c>
      <c r="K462" s="21">
        <v>0.51200000000000012</v>
      </c>
      <c r="L462" s="21">
        <v>1.3550358106005171</v>
      </c>
      <c r="M462" s="22" t="s">
        <v>22</v>
      </c>
      <c r="N462" s="22" t="s">
        <v>16</v>
      </c>
      <c r="O462" s="23">
        <v>0.2</v>
      </c>
      <c r="P462" s="20">
        <v>0.9786794254443989</v>
      </c>
    </row>
    <row r="463" spans="1:16">
      <c r="A463" s="16" t="s">
        <v>482</v>
      </c>
      <c r="B463" s="16" t="s">
        <v>592</v>
      </c>
      <c r="C463" s="18" t="s">
        <v>20</v>
      </c>
      <c r="D463" s="18" t="s">
        <v>20</v>
      </c>
      <c r="E463" s="19">
        <v>16</v>
      </c>
      <c r="F463" s="20">
        <v>0.30779429800046321</v>
      </c>
      <c r="G463" s="21">
        <v>4.9247087680074113</v>
      </c>
      <c r="H463" s="19">
        <v>16</v>
      </c>
      <c r="I463" s="20">
        <v>0.30779429800046321</v>
      </c>
      <c r="J463" s="21">
        <v>4.9247087680074113</v>
      </c>
      <c r="K463" s="21">
        <v>0.51200000000000012</v>
      </c>
      <c r="L463" s="21">
        <v>2.5214508892197953</v>
      </c>
      <c r="M463" s="22" t="s">
        <v>22</v>
      </c>
      <c r="N463" s="22" t="s">
        <v>16</v>
      </c>
      <c r="O463" s="23">
        <v>0.2</v>
      </c>
      <c r="P463" s="20">
        <v>0.99374776735385184</v>
      </c>
    </row>
    <row r="464" spans="1:16">
      <c r="A464" s="16" t="s">
        <v>483</v>
      </c>
      <c r="B464" s="16" t="s">
        <v>604</v>
      </c>
      <c r="C464" s="18" t="s">
        <v>20</v>
      </c>
      <c r="D464" s="18" t="s">
        <v>20</v>
      </c>
      <c r="E464" s="19">
        <v>16</v>
      </c>
      <c r="F464" s="20">
        <v>0.33963967880687557</v>
      </c>
      <c r="G464" s="21">
        <v>5.4342348609100091</v>
      </c>
      <c r="H464" s="19">
        <v>16</v>
      </c>
      <c r="I464" s="20">
        <v>0.33963967880687557</v>
      </c>
      <c r="J464" s="21">
        <v>5.4342348609100091</v>
      </c>
      <c r="K464" s="21">
        <v>0.51200000000000012</v>
      </c>
      <c r="L464" s="21">
        <v>2.7823282487859253</v>
      </c>
      <c r="M464" s="22" t="s">
        <v>18</v>
      </c>
      <c r="N464" s="22" t="s">
        <v>16</v>
      </c>
      <c r="O464" s="23">
        <v>0.4</v>
      </c>
      <c r="P464" s="20">
        <v>0.97975029707590444</v>
      </c>
    </row>
    <row r="465" spans="1:16">
      <c r="A465" s="16" t="s">
        <v>484</v>
      </c>
      <c r="B465" s="16" t="s">
        <v>599</v>
      </c>
      <c r="C465" s="18" t="s">
        <v>20</v>
      </c>
      <c r="D465" s="18" t="s">
        <v>20</v>
      </c>
      <c r="E465" s="19">
        <v>16</v>
      </c>
      <c r="F465" s="20">
        <v>0.34237894542789871</v>
      </c>
      <c r="G465" s="21">
        <v>5.4780631268463793</v>
      </c>
      <c r="H465" s="19">
        <v>16</v>
      </c>
      <c r="I465" s="20">
        <v>0.34237894542789871</v>
      </c>
      <c r="J465" s="21">
        <v>5.4780631268463793</v>
      </c>
      <c r="K465" s="21">
        <v>0.51200000000000012</v>
      </c>
      <c r="L465" s="21">
        <v>2.8047683209453469</v>
      </c>
      <c r="M465" s="22" t="s">
        <v>22</v>
      </c>
      <c r="N465" s="22" t="s">
        <v>16</v>
      </c>
      <c r="O465" s="23">
        <v>0.2</v>
      </c>
      <c r="P465" s="20">
        <v>0.99494101561526471</v>
      </c>
    </row>
    <row r="466" spans="1:16">
      <c r="A466" s="16" t="s">
        <v>485</v>
      </c>
      <c r="B466" s="16"/>
      <c r="C466" s="18"/>
      <c r="D466" s="18"/>
      <c r="E466" s="19"/>
      <c r="F466" s="20"/>
      <c r="G466" s="21"/>
      <c r="H466" s="19"/>
      <c r="I466" s="20"/>
      <c r="J466" s="21"/>
      <c r="K466" s="21"/>
      <c r="L466" s="21"/>
      <c r="M466" s="22"/>
      <c r="N466" s="22"/>
      <c r="O466" s="23" t="s">
        <v>14</v>
      </c>
      <c r="P466" s="20"/>
    </row>
    <row r="467" spans="1:16">
      <c r="A467" s="16" t="s">
        <v>486</v>
      </c>
      <c r="B467" s="16" t="s">
        <v>604</v>
      </c>
      <c r="C467" s="18" t="s">
        <v>20</v>
      </c>
      <c r="D467" s="18" t="s">
        <v>20</v>
      </c>
      <c r="E467" s="19">
        <v>8</v>
      </c>
      <c r="F467" s="20">
        <v>0.30822579160054259</v>
      </c>
      <c r="G467" s="21">
        <v>2.4658063328043407</v>
      </c>
      <c r="H467" s="19">
        <v>8</v>
      </c>
      <c r="I467" s="20">
        <v>0.30822579160054259</v>
      </c>
      <c r="J467" s="21">
        <v>2.4658063328043407</v>
      </c>
      <c r="K467" s="21">
        <v>0.51200000000000012</v>
      </c>
      <c r="L467" s="21">
        <v>1.2624928423958228</v>
      </c>
      <c r="M467" s="22" t="s">
        <v>22</v>
      </c>
      <c r="N467" s="22" t="s">
        <v>16</v>
      </c>
      <c r="O467" s="23">
        <v>0.2</v>
      </c>
      <c r="P467" s="20">
        <v>0.97551852044674225</v>
      </c>
    </row>
    <row r="468" spans="1:16">
      <c r="A468" s="16" t="s">
        <v>487</v>
      </c>
      <c r="B468" s="16" t="s">
        <v>587</v>
      </c>
      <c r="C468" s="18" t="s">
        <v>20</v>
      </c>
      <c r="D468" s="18" t="s">
        <v>20</v>
      </c>
      <c r="E468" s="19">
        <v>8</v>
      </c>
      <c r="F468" s="20">
        <v>0.29195859155787574</v>
      </c>
      <c r="G468" s="21">
        <v>2.3356687324630059</v>
      </c>
      <c r="H468" s="19">
        <v>8</v>
      </c>
      <c r="I468" s="20">
        <v>0.29195859155787574</v>
      </c>
      <c r="J468" s="21">
        <v>2.3356687324630059</v>
      </c>
      <c r="K468" s="21">
        <v>0.51200000000000012</v>
      </c>
      <c r="L468" s="21">
        <v>1.1958623910210593</v>
      </c>
      <c r="M468" s="22" t="s">
        <v>22</v>
      </c>
      <c r="N468" s="22" t="s">
        <v>16</v>
      </c>
      <c r="O468" s="23">
        <v>0.2</v>
      </c>
      <c r="P468" s="20">
        <v>0.97279072336760963</v>
      </c>
    </row>
    <row r="469" spans="1:16">
      <c r="A469" s="16" t="s">
        <v>488</v>
      </c>
      <c r="B469" s="16" t="s">
        <v>597</v>
      </c>
      <c r="C469" s="18" t="s">
        <v>20</v>
      </c>
      <c r="D469" s="18" t="s">
        <v>20</v>
      </c>
      <c r="E469" s="19">
        <v>10</v>
      </c>
      <c r="F469" s="20">
        <v>0.2872320203826228</v>
      </c>
      <c r="G469" s="21">
        <v>2.8723202038262281</v>
      </c>
      <c r="H469" s="19">
        <v>10</v>
      </c>
      <c r="I469" s="20">
        <v>0.2872320203826228</v>
      </c>
      <c r="J469" s="21">
        <v>2.8723202038262281</v>
      </c>
      <c r="K469" s="21">
        <v>0.51200000000000012</v>
      </c>
      <c r="L469" s="21">
        <v>1.4706279443590291</v>
      </c>
      <c r="M469" s="22" t="s">
        <v>22</v>
      </c>
      <c r="N469" s="22" t="s">
        <v>16</v>
      </c>
      <c r="O469" s="23">
        <v>0.2</v>
      </c>
      <c r="P469" s="20">
        <v>0.98184085228200679</v>
      </c>
    </row>
    <row r="470" spans="1:16">
      <c r="A470" s="16" t="s">
        <v>489</v>
      </c>
      <c r="B470" s="16" t="s">
        <v>598</v>
      </c>
      <c r="C470" s="18" t="s">
        <v>20</v>
      </c>
      <c r="D470" s="18" t="s">
        <v>20</v>
      </c>
      <c r="E470" s="19">
        <v>13</v>
      </c>
      <c r="F470" s="20">
        <v>0.2973703860035864</v>
      </c>
      <c r="G470" s="21">
        <v>3.8658150180466233</v>
      </c>
      <c r="H470" s="19">
        <v>13</v>
      </c>
      <c r="I470" s="20">
        <v>0.2973703860035864</v>
      </c>
      <c r="J470" s="21">
        <v>3.8658150180466233</v>
      </c>
      <c r="K470" s="21">
        <v>0.51200000000000012</v>
      </c>
      <c r="L470" s="21">
        <v>1.9792972892398717</v>
      </c>
      <c r="M470" s="22" t="s">
        <v>15</v>
      </c>
      <c r="N470" s="22" t="s">
        <v>16</v>
      </c>
      <c r="O470" s="23">
        <v>1</v>
      </c>
      <c r="P470" s="20">
        <v>0.79664950612911301</v>
      </c>
    </row>
    <row r="471" spans="1:16">
      <c r="A471" s="16" t="s">
        <v>490</v>
      </c>
      <c r="B471" s="16"/>
      <c r="C471" s="18"/>
      <c r="D471" s="18"/>
      <c r="E471" s="19"/>
      <c r="F471" s="20"/>
      <c r="G471" s="21"/>
      <c r="H471" s="19"/>
      <c r="I471" s="20"/>
      <c r="J471" s="21"/>
      <c r="K471" s="21"/>
      <c r="L471" s="21"/>
      <c r="M471" s="22"/>
      <c r="N471" s="22"/>
      <c r="O471" s="23" t="s">
        <v>14</v>
      </c>
      <c r="P471" s="20"/>
    </row>
    <row r="472" spans="1:16">
      <c r="A472" s="16" t="s">
        <v>491</v>
      </c>
      <c r="B472" s="16" t="s">
        <v>591</v>
      </c>
      <c r="C472" s="18" t="s">
        <v>20</v>
      </c>
      <c r="D472" s="18" t="s">
        <v>20</v>
      </c>
      <c r="E472" s="19">
        <v>19</v>
      </c>
      <c r="F472" s="20">
        <v>0.30869166915577817</v>
      </c>
      <c r="G472" s="21">
        <v>5.865141713959785</v>
      </c>
      <c r="H472" s="19">
        <v>19</v>
      </c>
      <c r="I472" s="20">
        <v>0.30869166915577817</v>
      </c>
      <c r="J472" s="21">
        <v>5.865141713959785</v>
      </c>
      <c r="K472" s="21">
        <v>0.51200000000000012</v>
      </c>
      <c r="L472" s="21">
        <v>3.0029525575474105</v>
      </c>
      <c r="M472" s="22" t="s">
        <v>18</v>
      </c>
      <c r="N472" s="22" t="s">
        <v>16</v>
      </c>
      <c r="O472" s="23">
        <v>0.4</v>
      </c>
      <c r="P472" s="20">
        <v>0.98256648392305423</v>
      </c>
    </row>
    <row r="473" spans="1:16">
      <c r="A473" s="16" t="s">
        <v>492</v>
      </c>
      <c r="B473" s="16" t="s">
        <v>587</v>
      </c>
      <c r="C473" s="18" t="s">
        <v>20</v>
      </c>
      <c r="D473" s="18" t="s">
        <v>20</v>
      </c>
      <c r="E473" s="19">
        <v>13</v>
      </c>
      <c r="F473" s="20">
        <v>0.31435043478077984</v>
      </c>
      <c r="G473" s="21">
        <v>4.0865556521501381</v>
      </c>
      <c r="H473" s="19">
        <v>13</v>
      </c>
      <c r="I473" s="20">
        <v>0.31435043478077984</v>
      </c>
      <c r="J473" s="21">
        <v>4.0865556521501381</v>
      </c>
      <c r="K473" s="21">
        <v>0.51200000000000012</v>
      </c>
      <c r="L473" s="21">
        <v>2.0923164939008712</v>
      </c>
      <c r="M473" s="22" t="s">
        <v>18</v>
      </c>
      <c r="N473" s="22" t="s">
        <v>16</v>
      </c>
      <c r="O473" s="23">
        <v>0.4</v>
      </c>
      <c r="P473" s="20">
        <v>0.96474053238127044</v>
      </c>
    </row>
    <row r="474" spans="1:16">
      <c r="A474" s="16" t="s">
        <v>493</v>
      </c>
      <c r="B474" s="16" t="s">
        <v>598</v>
      </c>
      <c r="C474" s="18" t="s">
        <v>20</v>
      </c>
      <c r="D474" s="18" t="s">
        <v>20</v>
      </c>
      <c r="E474" s="19">
        <v>12</v>
      </c>
      <c r="F474" s="20">
        <v>0.30240006176712408</v>
      </c>
      <c r="G474" s="21">
        <v>3.628800741205489</v>
      </c>
      <c r="H474" s="19">
        <v>12</v>
      </c>
      <c r="I474" s="20">
        <v>0.30240006176712408</v>
      </c>
      <c r="J474" s="21">
        <v>3.628800741205489</v>
      </c>
      <c r="K474" s="21">
        <v>0.51200000000000012</v>
      </c>
      <c r="L474" s="21">
        <v>1.8579459794972109</v>
      </c>
      <c r="M474" s="22" t="s">
        <v>15</v>
      </c>
      <c r="N474" s="22" t="s">
        <v>16</v>
      </c>
      <c r="O474" s="23">
        <v>1</v>
      </c>
      <c r="P474" s="20">
        <v>0.77537999732126694</v>
      </c>
    </row>
    <row r="475" spans="1:16">
      <c r="A475" s="16" t="s">
        <v>494</v>
      </c>
      <c r="B475" s="16" t="s">
        <v>589</v>
      </c>
      <c r="C475" s="18" t="s">
        <v>20</v>
      </c>
      <c r="D475" s="18" t="s">
        <v>20</v>
      </c>
      <c r="E475" s="19">
        <v>8</v>
      </c>
      <c r="F475" s="20">
        <v>0.29137863512426099</v>
      </c>
      <c r="G475" s="21">
        <v>2.3310290809940879</v>
      </c>
      <c r="H475" s="19">
        <v>8</v>
      </c>
      <c r="I475" s="20">
        <v>0.29137863512426099</v>
      </c>
      <c r="J475" s="21">
        <v>2.3310290809940879</v>
      </c>
      <c r="K475" s="21">
        <v>0.51200000000000012</v>
      </c>
      <c r="L475" s="21">
        <v>1.1934868894689732</v>
      </c>
      <c r="M475" s="22" t="s">
        <v>22</v>
      </c>
      <c r="N475" s="22" t="s">
        <v>16</v>
      </c>
      <c r="O475" s="23">
        <v>0.2</v>
      </c>
      <c r="P475" s="20">
        <v>0.9726852630716164</v>
      </c>
    </row>
    <row r="476" spans="1:16">
      <c r="A476" s="16" t="s">
        <v>495</v>
      </c>
      <c r="B476" s="16"/>
      <c r="C476" s="18"/>
      <c r="D476" s="18"/>
      <c r="E476" s="19"/>
      <c r="F476" s="20"/>
      <c r="G476" s="21"/>
      <c r="H476" s="19"/>
      <c r="I476" s="20"/>
      <c r="J476" s="21"/>
      <c r="K476" s="21"/>
      <c r="L476" s="21"/>
      <c r="M476" s="22"/>
      <c r="N476" s="22"/>
      <c r="O476" s="23" t="s">
        <v>14</v>
      </c>
      <c r="P476" s="20"/>
    </row>
    <row r="477" spans="1:16">
      <c r="A477" s="16" t="s">
        <v>496</v>
      </c>
      <c r="B477" s="16" t="s">
        <v>589</v>
      </c>
      <c r="C477" s="18" t="s">
        <v>20</v>
      </c>
      <c r="D477" s="18" t="s">
        <v>20</v>
      </c>
      <c r="E477" s="19">
        <v>12</v>
      </c>
      <c r="F477" s="20">
        <v>0.31552630197454395</v>
      </c>
      <c r="G477" s="21">
        <v>3.7863156236945272</v>
      </c>
      <c r="H477" s="19">
        <v>12</v>
      </c>
      <c r="I477" s="20">
        <v>0.31552630197454395</v>
      </c>
      <c r="J477" s="21">
        <v>3.7863156236945272</v>
      </c>
      <c r="K477" s="21">
        <v>0.51200000000000012</v>
      </c>
      <c r="L477" s="21">
        <v>1.9385935993315984</v>
      </c>
      <c r="M477" s="22" t="s">
        <v>18</v>
      </c>
      <c r="N477" s="22" t="s">
        <v>18</v>
      </c>
      <c r="O477" s="23">
        <v>1</v>
      </c>
      <c r="P477" s="20">
        <v>0.78983406981741244</v>
      </c>
    </row>
    <row r="478" spans="1:16">
      <c r="A478" s="16" t="s">
        <v>497</v>
      </c>
      <c r="B478" s="16" t="s">
        <v>593</v>
      </c>
      <c r="C478" s="18" t="s">
        <v>20</v>
      </c>
      <c r="D478" s="18" t="s">
        <v>20</v>
      </c>
      <c r="E478" s="19">
        <v>18</v>
      </c>
      <c r="F478" s="20">
        <v>0.33400766653675462</v>
      </c>
      <c r="G478" s="21">
        <v>6.0121379976615827</v>
      </c>
      <c r="H478" s="19">
        <v>18</v>
      </c>
      <c r="I478" s="20">
        <v>0.33400766653675462</v>
      </c>
      <c r="J478" s="21">
        <v>6.0121379976615827</v>
      </c>
      <c r="K478" s="21">
        <v>0.51200000000000012</v>
      </c>
      <c r="L478" s="21">
        <v>3.0782146548027312</v>
      </c>
      <c r="M478" s="22" t="s">
        <v>18</v>
      </c>
      <c r="N478" s="22" t="s">
        <v>18</v>
      </c>
      <c r="O478" s="23">
        <v>1</v>
      </c>
      <c r="P478" s="20">
        <v>0.90453830128876933</v>
      </c>
    </row>
    <row r="479" spans="1:16">
      <c r="A479" s="16" t="s">
        <v>498</v>
      </c>
      <c r="B479" s="16" t="s">
        <v>593</v>
      </c>
      <c r="C479" s="18" t="s">
        <v>20</v>
      </c>
      <c r="D479" s="18" t="s">
        <v>20</v>
      </c>
      <c r="E479" s="19">
        <v>18</v>
      </c>
      <c r="F479" s="20">
        <v>0.33400766653675462</v>
      </c>
      <c r="G479" s="21">
        <v>6.0121379976615827</v>
      </c>
      <c r="H479" s="19">
        <v>18</v>
      </c>
      <c r="I479" s="20">
        <v>0.33400766653675462</v>
      </c>
      <c r="J479" s="21">
        <v>6.0121379976615827</v>
      </c>
      <c r="K479" s="21">
        <v>0.51200000000000012</v>
      </c>
      <c r="L479" s="21">
        <v>3.0782146548027312</v>
      </c>
      <c r="M479" s="22" t="s">
        <v>18</v>
      </c>
      <c r="N479" s="22" t="s">
        <v>18</v>
      </c>
      <c r="O479" s="23">
        <v>1</v>
      </c>
      <c r="P479" s="20">
        <v>0.90453830128876933</v>
      </c>
    </row>
    <row r="480" spans="1:16">
      <c r="A480" s="16" t="s">
        <v>499</v>
      </c>
      <c r="B480" s="16" t="s">
        <v>598</v>
      </c>
      <c r="C480" s="18" t="s">
        <v>20</v>
      </c>
      <c r="D480" s="18" t="s">
        <v>20</v>
      </c>
      <c r="E480" s="19">
        <v>13</v>
      </c>
      <c r="F480" s="20">
        <v>0.30786585833587865</v>
      </c>
      <c r="G480" s="21">
        <v>4.0022561583664222</v>
      </c>
      <c r="H480" s="19">
        <v>13</v>
      </c>
      <c r="I480" s="20">
        <v>0.30786585833587865</v>
      </c>
      <c r="J480" s="21">
        <v>4.0022561583664222</v>
      </c>
      <c r="K480" s="21">
        <v>0.51200000000000012</v>
      </c>
      <c r="L480" s="21">
        <v>2.0491551530836087</v>
      </c>
      <c r="M480" s="22" t="s">
        <v>15</v>
      </c>
      <c r="N480" s="22" t="s">
        <v>16</v>
      </c>
      <c r="O480" s="23">
        <v>1</v>
      </c>
      <c r="P480" s="20">
        <v>0.80765668132311841</v>
      </c>
    </row>
    <row r="481" spans="1:16">
      <c r="A481" s="16" t="s">
        <v>500</v>
      </c>
      <c r="B481" s="16" t="s">
        <v>593</v>
      </c>
      <c r="C481" s="18" t="s">
        <v>20</v>
      </c>
      <c r="D481" s="18" t="s">
        <v>20</v>
      </c>
      <c r="E481" s="19">
        <v>17</v>
      </c>
      <c r="F481" s="20">
        <v>0.3217630634295206</v>
      </c>
      <c r="G481" s="21">
        <v>5.4699720783018506</v>
      </c>
      <c r="H481" s="19">
        <v>17</v>
      </c>
      <c r="I481" s="20">
        <v>0.3217630634295206</v>
      </c>
      <c r="J481" s="21">
        <v>5.4699720783018506</v>
      </c>
      <c r="K481" s="21">
        <v>0.51200000000000012</v>
      </c>
      <c r="L481" s="21">
        <v>2.8006257040905482</v>
      </c>
      <c r="M481" s="22" t="s">
        <v>18</v>
      </c>
      <c r="N481" s="22" t="s">
        <v>18</v>
      </c>
      <c r="O481" s="23">
        <v>1</v>
      </c>
      <c r="P481" s="20">
        <v>0.8869226539406212</v>
      </c>
    </row>
    <row r="482" spans="1:16">
      <c r="A482" s="16" t="s">
        <v>501</v>
      </c>
      <c r="B482" s="16" t="s">
        <v>604</v>
      </c>
      <c r="C482" s="18" t="s">
        <v>20</v>
      </c>
      <c r="D482" s="18" t="s">
        <v>20</v>
      </c>
      <c r="E482" s="19">
        <v>12</v>
      </c>
      <c r="F482" s="20">
        <v>0.31503521521186995</v>
      </c>
      <c r="G482" s="21">
        <v>3.7804225825424393</v>
      </c>
      <c r="H482" s="19">
        <v>12</v>
      </c>
      <c r="I482" s="20">
        <v>0.31503521521186995</v>
      </c>
      <c r="J482" s="21">
        <v>3.7804225825424393</v>
      </c>
      <c r="K482" s="21">
        <v>0.51200000000000012</v>
      </c>
      <c r="L482" s="21">
        <v>1.9355763622617295</v>
      </c>
      <c r="M482" s="22" t="s">
        <v>18</v>
      </c>
      <c r="N482" s="22" t="s">
        <v>18</v>
      </c>
      <c r="O482" s="23">
        <v>1</v>
      </c>
      <c r="P482" s="20">
        <v>0.78931648566236379</v>
      </c>
    </row>
    <row r="483" spans="1:16">
      <c r="A483" s="16" t="s">
        <v>502</v>
      </c>
      <c r="B483" s="16" t="s">
        <v>589</v>
      </c>
      <c r="C483" s="18" t="s">
        <v>20</v>
      </c>
      <c r="D483" s="18" t="s">
        <v>20</v>
      </c>
      <c r="E483" s="19">
        <v>16</v>
      </c>
      <c r="F483" s="20">
        <v>0.32449592612139888</v>
      </c>
      <c r="G483" s="21">
        <v>5.1919348179423821</v>
      </c>
      <c r="H483" s="19">
        <v>16</v>
      </c>
      <c r="I483" s="20">
        <v>0.32449592612139888</v>
      </c>
      <c r="J483" s="21">
        <v>5.1919348179423821</v>
      </c>
      <c r="K483" s="21">
        <v>0.51200000000000012</v>
      </c>
      <c r="L483" s="21">
        <v>2.6582706267865004</v>
      </c>
      <c r="M483" s="22" t="s">
        <v>18</v>
      </c>
      <c r="N483" s="22" t="s">
        <v>18</v>
      </c>
      <c r="O483" s="23">
        <v>1</v>
      </c>
      <c r="P483" s="20">
        <v>0.87602900151867202</v>
      </c>
    </row>
    <row r="484" spans="1:16">
      <c r="A484" s="16" t="s">
        <v>503</v>
      </c>
      <c r="B484" s="16" t="s">
        <v>589</v>
      </c>
      <c r="C484" s="18" t="s">
        <v>20</v>
      </c>
      <c r="D484" s="18" t="s">
        <v>20</v>
      </c>
      <c r="E484" s="19">
        <v>15</v>
      </c>
      <c r="F484" s="20">
        <v>0.32248710394156566</v>
      </c>
      <c r="G484" s="21">
        <v>4.8373065591234852</v>
      </c>
      <c r="H484" s="19">
        <v>15</v>
      </c>
      <c r="I484" s="20">
        <v>0.32248710394156566</v>
      </c>
      <c r="J484" s="21">
        <v>4.8373065591234852</v>
      </c>
      <c r="K484" s="21">
        <v>0.51200000000000012</v>
      </c>
      <c r="L484" s="21">
        <v>2.4767009582712252</v>
      </c>
      <c r="M484" s="22" t="s">
        <v>18</v>
      </c>
      <c r="N484" s="22" t="s">
        <v>18</v>
      </c>
      <c r="O484" s="23">
        <v>1</v>
      </c>
      <c r="P484" s="20">
        <v>0.85982712046168153</v>
      </c>
    </row>
    <row r="485" spans="1:16">
      <c r="A485" s="16" t="s">
        <v>504</v>
      </c>
      <c r="B485" s="16"/>
      <c r="C485" s="18"/>
      <c r="D485" s="18"/>
      <c r="E485" s="19"/>
      <c r="F485" s="20"/>
      <c r="G485" s="21"/>
      <c r="H485" s="19"/>
      <c r="I485" s="20"/>
      <c r="J485" s="21"/>
      <c r="K485" s="21"/>
      <c r="L485" s="21"/>
      <c r="M485" s="22"/>
      <c r="N485" s="22"/>
      <c r="O485" s="23" t="s">
        <v>14</v>
      </c>
      <c r="P485" s="20"/>
    </row>
    <row r="486" spans="1:16">
      <c r="A486" s="16" t="s">
        <v>505</v>
      </c>
      <c r="B486" s="16" t="s">
        <v>592</v>
      </c>
      <c r="C486" s="18" t="s">
        <v>12</v>
      </c>
      <c r="D486" s="18" t="s">
        <v>13</v>
      </c>
      <c r="E486" s="19">
        <v>17</v>
      </c>
      <c r="F486" s="20">
        <v>0.26973224613118785</v>
      </c>
      <c r="G486" s="21">
        <v>4.5854481842301933</v>
      </c>
      <c r="H486" s="19">
        <v>17</v>
      </c>
      <c r="I486" s="20">
        <v>0.26973224613118785</v>
      </c>
      <c r="J486" s="21">
        <v>4.5854481842301933</v>
      </c>
      <c r="K486" s="21">
        <v>0.51200000000000012</v>
      </c>
      <c r="L486" s="21">
        <v>2.3477494703258595</v>
      </c>
      <c r="M486" s="22" t="s">
        <v>15</v>
      </c>
      <c r="N486" s="22" t="s">
        <v>18</v>
      </c>
      <c r="O486" s="23">
        <v>2.5</v>
      </c>
      <c r="P486" s="20">
        <v>0.46862451244269876</v>
      </c>
    </row>
    <row r="487" spans="1:16">
      <c r="A487" s="16" t="s">
        <v>506</v>
      </c>
      <c r="B487" s="16" t="s">
        <v>587</v>
      </c>
      <c r="C487" s="18" t="s">
        <v>20</v>
      </c>
      <c r="D487" s="18" t="s">
        <v>20</v>
      </c>
      <c r="E487" s="19">
        <v>7</v>
      </c>
      <c r="F487" s="20">
        <v>0.27514467776407264</v>
      </c>
      <c r="G487" s="21">
        <v>1.9260127443485084</v>
      </c>
      <c r="H487" s="19">
        <v>8</v>
      </c>
      <c r="I487" s="20">
        <v>0.27446812380996205</v>
      </c>
      <c r="J487" s="21">
        <v>2.1957449904796964</v>
      </c>
      <c r="K487" s="21">
        <v>0.51200000000000012</v>
      </c>
      <c r="L487" s="21">
        <v>1.1242214351256048</v>
      </c>
      <c r="M487" s="22" t="s">
        <v>18</v>
      </c>
      <c r="N487" s="22" t="s">
        <v>16</v>
      </c>
      <c r="O487" s="23">
        <v>0.4</v>
      </c>
      <c r="P487" s="20">
        <v>0.88763049362586977</v>
      </c>
    </row>
    <row r="488" spans="1:16">
      <c r="A488" s="16" t="s">
        <v>507</v>
      </c>
      <c r="B488" s="16" t="s">
        <v>588</v>
      </c>
      <c r="C488" s="18" t="s">
        <v>20</v>
      </c>
      <c r="D488" s="18" t="s">
        <v>20</v>
      </c>
      <c r="E488" s="19">
        <v>13</v>
      </c>
      <c r="F488" s="20">
        <v>0.3110869731042426</v>
      </c>
      <c r="G488" s="21">
        <v>4.0441306503551537</v>
      </c>
      <c r="H488" s="19">
        <v>14</v>
      </c>
      <c r="I488" s="20">
        <v>0.30813306403473867</v>
      </c>
      <c r="J488" s="21">
        <v>4.3138628964863415</v>
      </c>
      <c r="K488" s="21">
        <v>0.51200000000000012</v>
      </c>
      <c r="L488" s="21">
        <v>2.2086978030010074</v>
      </c>
      <c r="M488" s="22" t="s">
        <v>18</v>
      </c>
      <c r="N488" s="22" t="s">
        <v>16</v>
      </c>
      <c r="O488" s="23">
        <v>0.4</v>
      </c>
      <c r="P488" s="20">
        <v>0.96824354649781197</v>
      </c>
    </row>
    <row r="489" spans="1:16">
      <c r="A489" s="16" t="s">
        <v>508</v>
      </c>
      <c r="B489" s="16" t="s">
        <v>593</v>
      </c>
      <c r="C489" s="18" t="s">
        <v>20</v>
      </c>
      <c r="D489" s="18" t="s">
        <v>20</v>
      </c>
      <c r="E489" s="19">
        <v>18</v>
      </c>
      <c r="F489" s="20">
        <v>0.33400766653675462</v>
      </c>
      <c r="G489" s="21">
        <v>6.0121379976615827</v>
      </c>
      <c r="H489" s="19">
        <v>19</v>
      </c>
      <c r="I489" s="20">
        <v>0.33062474967330369</v>
      </c>
      <c r="J489" s="21">
        <v>6.2818702437927705</v>
      </c>
      <c r="K489" s="21">
        <v>0.51200000000000012</v>
      </c>
      <c r="L489" s="21">
        <v>3.2163175648218991</v>
      </c>
      <c r="M489" s="22" t="s">
        <v>18</v>
      </c>
      <c r="N489" s="22" t="s">
        <v>18</v>
      </c>
      <c r="O489" s="23">
        <v>1</v>
      </c>
      <c r="P489" s="20">
        <v>0.91185310175241063</v>
      </c>
    </row>
    <row r="490" spans="1:16">
      <c r="A490" s="16" t="s">
        <v>509</v>
      </c>
      <c r="B490" s="16" t="s">
        <v>597</v>
      </c>
      <c r="C490" s="18" t="s">
        <v>20</v>
      </c>
      <c r="D490" s="18" t="s">
        <v>20</v>
      </c>
      <c r="E490" s="19">
        <v>4</v>
      </c>
      <c r="F490" s="20">
        <v>0.29360878944994157</v>
      </c>
      <c r="G490" s="21">
        <v>1.1744351577997663</v>
      </c>
      <c r="H490" s="19">
        <v>5</v>
      </c>
      <c r="I490" s="20">
        <v>0.28883348078619087</v>
      </c>
      <c r="J490" s="21">
        <v>1.4441674039309542</v>
      </c>
      <c r="K490" s="21">
        <v>0.51200000000000012</v>
      </c>
      <c r="L490" s="21">
        <v>0.73941371081264873</v>
      </c>
      <c r="M490" s="22" t="s">
        <v>22</v>
      </c>
      <c r="N490" s="22" t="s">
        <v>16</v>
      </c>
      <c r="O490" s="23">
        <v>0.2</v>
      </c>
      <c r="P490" s="20">
        <v>0.93182584781617639</v>
      </c>
    </row>
    <row r="491" spans="1:16">
      <c r="A491" s="16" t="s">
        <v>510</v>
      </c>
      <c r="B491" s="16" t="s">
        <v>598</v>
      </c>
      <c r="C491" s="18" t="s">
        <v>20</v>
      </c>
      <c r="D491" s="18" t="s">
        <v>20</v>
      </c>
      <c r="E491" s="19">
        <v>12</v>
      </c>
      <c r="F491" s="20">
        <v>0.30240006176712408</v>
      </c>
      <c r="G491" s="21">
        <v>3.628800741205489</v>
      </c>
      <c r="H491" s="19">
        <v>13</v>
      </c>
      <c r="I491" s="20">
        <v>0.29988715287205203</v>
      </c>
      <c r="J491" s="21">
        <v>3.8985329873366763</v>
      </c>
      <c r="K491" s="21">
        <v>0.51200000000000012</v>
      </c>
      <c r="L491" s="21">
        <v>1.9960488895163788</v>
      </c>
      <c r="M491" s="22" t="s">
        <v>15</v>
      </c>
      <c r="N491" s="22" t="s">
        <v>16</v>
      </c>
      <c r="O491" s="23">
        <v>1</v>
      </c>
      <c r="P491" s="20">
        <v>0.79936644615871988</v>
      </c>
    </row>
    <row r="492" spans="1:16">
      <c r="A492" s="16" t="s">
        <v>511</v>
      </c>
      <c r="B492" s="16"/>
      <c r="C492" s="18"/>
      <c r="D492" s="18"/>
      <c r="E492" s="19"/>
      <c r="F492" s="20"/>
      <c r="G492" s="21"/>
      <c r="H492" s="19"/>
      <c r="I492" s="20"/>
      <c r="J492" s="21"/>
      <c r="K492" s="21"/>
      <c r="L492" s="21"/>
      <c r="M492" s="22"/>
      <c r="N492" s="22"/>
      <c r="O492" s="23" t="s">
        <v>14</v>
      </c>
      <c r="P492" s="20"/>
    </row>
    <row r="493" spans="1:16">
      <c r="A493" s="16" t="s">
        <v>512</v>
      </c>
      <c r="B493" s="16"/>
      <c r="C493" s="18"/>
      <c r="D493" s="18"/>
      <c r="E493" s="19"/>
      <c r="F493" s="20"/>
      <c r="G493" s="21"/>
      <c r="H493" s="19"/>
      <c r="I493" s="20"/>
      <c r="J493" s="21"/>
      <c r="K493" s="21"/>
      <c r="L493" s="21"/>
      <c r="M493" s="22"/>
      <c r="N493" s="22"/>
      <c r="O493" s="23" t="s">
        <v>14</v>
      </c>
      <c r="P493" s="20"/>
    </row>
    <row r="494" spans="1:16">
      <c r="A494" s="16" t="s">
        <v>513</v>
      </c>
      <c r="B494" s="16"/>
      <c r="C494" s="18"/>
      <c r="D494" s="18"/>
      <c r="E494" s="19"/>
      <c r="F494" s="20"/>
      <c r="G494" s="21"/>
      <c r="H494" s="19"/>
      <c r="I494" s="20"/>
      <c r="J494" s="21"/>
      <c r="K494" s="21"/>
      <c r="L494" s="21"/>
      <c r="M494" s="22"/>
      <c r="N494" s="22"/>
      <c r="O494" s="23" t="s">
        <v>14</v>
      </c>
      <c r="P494" s="20"/>
    </row>
    <row r="495" spans="1:16">
      <c r="A495" s="16" t="s">
        <v>514</v>
      </c>
      <c r="B495" s="16" t="s">
        <v>587</v>
      </c>
      <c r="C495" s="18" t="s">
        <v>12</v>
      </c>
      <c r="D495" s="18" t="s">
        <v>13</v>
      </c>
      <c r="E495" s="19">
        <v>7</v>
      </c>
      <c r="F495" s="20">
        <v>0.30556476742862476</v>
      </c>
      <c r="G495" s="21">
        <v>2.1389533720003735</v>
      </c>
      <c r="H495" s="19">
        <v>7</v>
      </c>
      <c r="I495" s="20">
        <v>0.30556476742862476</v>
      </c>
      <c r="J495" s="21">
        <v>2.1389533720003735</v>
      </c>
      <c r="K495" s="21">
        <v>0.51200000000000012</v>
      </c>
      <c r="L495" s="21">
        <v>1.0951441264641915</v>
      </c>
      <c r="M495" s="22" t="s">
        <v>15</v>
      </c>
      <c r="N495" s="22" t="s">
        <v>16</v>
      </c>
      <c r="O495" s="23">
        <v>1</v>
      </c>
      <c r="P495" s="20">
        <v>0.54531827687277212</v>
      </c>
    </row>
    <row r="496" spans="1:16">
      <c r="A496" s="16" t="s">
        <v>515</v>
      </c>
      <c r="B496" s="16" t="s">
        <v>588</v>
      </c>
      <c r="C496" s="18" t="s">
        <v>20</v>
      </c>
      <c r="D496" s="18" t="s">
        <v>20</v>
      </c>
      <c r="E496" s="19">
        <v>15</v>
      </c>
      <c r="F496" s="20">
        <v>0.36169425598386251</v>
      </c>
      <c r="G496" s="21">
        <v>5.4254138397579377</v>
      </c>
      <c r="H496" s="19">
        <v>19</v>
      </c>
      <c r="I496" s="20">
        <v>0.3486242119948304</v>
      </c>
      <c r="J496" s="21">
        <v>6.6238600279017774</v>
      </c>
      <c r="K496" s="21">
        <v>0.51200000000000012</v>
      </c>
      <c r="L496" s="21">
        <v>3.3914163342857107</v>
      </c>
      <c r="M496" s="22" t="s">
        <v>18</v>
      </c>
      <c r="N496" s="22" t="s">
        <v>16</v>
      </c>
      <c r="O496" s="23">
        <v>0.4</v>
      </c>
      <c r="P496" s="20">
        <v>0.98627987902315484</v>
      </c>
    </row>
    <row r="497" spans="1:16">
      <c r="A497" s="16" t="s">
        <v>516</v>
      </c>
      <c r="B497" s="16" t="s">
        <v>598</v>
      </c>
      <c r="C497" s="18" t="s">
        <v>20</v>
      </c>
      <c r="D497" s="18" t="s">
        <v>20</v>
      </c>
      <c r="E497" s="19">
        <v>13</v>
      </c>
      <c r="F497" s="20">
        <v>0.32140632247175804</v>
      </c>
      <c r="G497" s="21">
        <v>4.1782821921328548</v>
      </c>
      <c r="H497" s="19">
        <v>17</v>
      </c>
      <c r="I497" s="20">
        <v>0.31627814001627613</v>
      </c>
      <c r="J497" s="21">
        <v>5.3767283802766945</v>
      </c>
      <c r="K497" s="21">
        <v>0.51200000000000012</v>
      </c>
      <c r="L497" s="21">
        <v>2.7528849307016681</v>
      </c>
      <c r="M497" s="22" t="s">
        <v>22</v>
      </c>
      <c r="N497" s="22" t="s">
        <v>18</v>
      </c>
      <c r="O497" s="23">
        <v>0.5</v>
      </c>
      <c r="P497" s="20">
        <v>0.96806489394098216</v>
      </c>
    </row>
    <row r="498" spans="1:16">
      <c r="A498" s="16" t="s">
        <v>517</v>
      </c>
      <c r="B498" s="16" t="s">
        <v>587</v>
      </c>
      <c r="C498" s="18" t="s">
        <v>20</v>
      </c>
      <c r="D498" s="18" t="s">
        <v>20</v>
      </c>
      <c r="E498" s="19">
        <v>11</v>
      </c>
      <c r="F498" s="20">
        <v>0.31642506419691591</v>
      </c>
      <c r="G498" s="21">
        <v>3.4806757061660751</v>
      </c>
      <c r="H498" s="19">
        <v>15</v>
      </c>
      <c r="I498" s="20">
        <v>0.31194145962066094</v>
      </c>
      <c r="J498" s="21">
        <v>4.6791218943099144</v>
      </c>
      <c r="K498" s="21">
        <v>0.51200000000000012</v>
      </c>
      <c r="L498" s="21">
        <v>2.3957104098866768</v>
      </c>
      <c r="M498" s="22" t="s">
        <v>22</v>
      </c>
      <c r="N498" s="22" t="s">
        <v>18</v>
      </c>
      <c r="O498" s="23">
        <v>0.5</v>
      </c>
      <c r="P498" s="20">
        <v>0.95825978964302461</v>
      </c>
    </row>
    <row r="499" spans="1:16">
      <c r="A499" s="16" t="s">
        <v>518</v>
      </c>
      <c r="B499" s="16" t="s">
        <v>595</v>
      </c>
      <c r="C499" s="18" t="s">
        <v>12</v>
      </c>
      <c r="D499" s="18" t="s">
        <v>13</v>
      </c>
      <c r="E499" s="19">
        <v>11</v>
      </c>
      <c r="F499" s="20">
        <v>0.27344184146788736</v>
      </c>
      <c r="G499" s="21">
        <v>3.0078602561467611</v>
      </c>
      <c r="H499" s="19">
        <v>11</v>
      </c>
      <c r="I499" s="20">
        <v>0.27344184146788736</v>
      </c>
      <c r="J499" s="21">
        <v>3.0078602561467611</v>
      </c>
      <c r="K499" s="21">
        <v>0.51200000000000012</v>
      </c>
      <c r="L499" s="21">
        <v>1.5400244511471421</v>
      </c>
      <c r="M499" s="22" t="s">
        <v>22</v>
      </c>
      <c r="N499" s="22" t="s">
        <v>18</v>
      </c>
      <c r="O499" s="23">
        <v>0.5</v>
      </c>
      <c r="P499" s="20">
        <v>0.90464112812371777</v>
      </c>
    </row>
    <row r="500" spans="1:16">
      <c r="A500" s="16" t="s">
        <v>519</v>
      </c>
      <c r="B500" s="16" t="s">
        <v>587</v>
      </c>
      <c r="C500" s="18" t="s">
        <v>12</v>
      </c>
      <c r="D500" s="18" t="s">
        <v>13</v>
      </c>
      <c r="E500" s="19">
        <v>18</v>
      </c>
      <c r="F500" s="20">
        <v>0.28627805212564045</v>
      </c>
      <c r="G500" s="21">
        <v>5.1530049382615282</v>
      </c>
      <c r="H500" s="19">
        <v>18</v>
      </c>
      <c r="I500" s="20">
        <v>0.28627805212564045</v>
      </c>
      <c r="J500" s="21">
        <v>5.1530049382615282</v>
      </c>
      <c r="K500" s="21">
        <v>0.51200000000000012</v>
      </c>
      <c r="L500" s="21">
        <v>2.638338528389903</v>
      </c>
      <c r="M500" s="22" t="s">
        <v>22</v>
      </c>
      <c r="N500" s="22" t="s">
        <v>16</v>
      </c>
      <c r="O500" s="23">
        <v>0.2</v>
      </c>
      <c r="P500" s="20">
        <v>0.9942863919117868</v>
      </c>
    </row>
    <row r="501" spans="1:16">
      <c r="A501" s="16" t="s">
        <v>520</v>
      </c>
      <c r="B501" s="16" t="s">
        <v>589</v>
      </c>
      <c r="C501" s="18" t="s">
        <v>20</v>
      </c>
      <c r="D501" s="18" t="s">
        <v>20</v>
      </c>
      <c r="E501" s="19">
        <v>17</v>
      </c>
      <c r="F501" s="20">
        <v>0.33409228910583166</v>
      </c>
      <c r="G501" s="21">
        <v>5.6795689147991384</v>
      </c>
      <c r="H501" s="19">
        <v>21</v>
      </c>
      <c r="I501" s="20">
        <v>0.3275245287115704</v>
      </c>
      <c r="J501" s="21">
        <v>6.8780151029429781</v>
      </c>
      <c r="K501" s="21">
        <v>0.51200000000000012</v>
      </c>
      <c r="L501" s="21">
        <v>3.5215437327068058</v>
      </c>
      <c r="M501" s="22" t="s">
        <v>22</v>
      </c>
      <c r="N501" s="22" t="s">
        <v>16</v>
      </c>
      <c r="O501" s="23">
        <v>0.2</v>
      </c>
      <c r="P501" s="20">
        <v>0.9967848942142018</v>
      </c>
    </row>
    <row r="502" spans="1:16">
      <c r="A502" s="16" t="s">
        <v>521</v>
      </c>
      <c r="B502" s="16" t="s">
        <v>589</v>
      </c>
      <c r="C502" s="18" t="s">
        <v>12</v>
      </c>
      <c r="D502" s="18" t="s">
        <v>13</v>
      </c>
      <c r="E502" s="19">
        <v>16</v>
      </c>
      <c r="F502" s="20">
        <v>0.33316152712168706</v>
      </c>
      <c r="G502" s="21">
        <v>5.330584433946993</v>
      </c>
      <c r="H502" s="19">
        <v>16</v>
      </c>
      <c r="I502" s="20">
        <v>0.33316152712168706</v>
      </c>
      <c r="J502" s="21">
        <v>5.330584433946993</v>
      </c>
      <c r="K502" s="21">
        <v>0.51200000000000012</v>
      </c>
      <c r="L502" s="21">
        <v>2.7292592301808609</v>
      </c>
      <c r="M502" s="22" t="s">
        <v>18</v>
      </c>
      <c r="N502" s="22" t="s">
        <v>16</v>
      </c>
      <c r="O502" s="23">
        <v>0.4</v>
      </c>
      <c r="P502" s="20">
        <v>0.97897187157366938</v>
      </c>
    </row>
    <row r="503" spans="1:16">
      <c r="A503" s="16" t="s">
        <v>522</v>
      </c>
      <c r="B503" s="16"/>
      <c r="C503" s="18"/>
      <c r="D503" s="18"/>
      <c r="E503" s="19"/>
      <c r="F503" s="20"/>
      <c r="G503" s="21"/>
      <c r="H503" s="19"/>
      <c r="I503" s="20"/>
      <c r="J503" s="21"/>
      <c r="K503" s="21"/>
      <c r="L503" s="21"/>
      <c r="M503" s="22"/>
      <c r="N503" s="22"/>
      <c r="O503" s="23" t="s">
        <v>14</v>
      </c>
      <c r="P503" s="20"/>
    </row>
    <row r="504" spans="1:16">
      <c r="A504" s="16" t="s">
        <v>523</v>
      </c>
      <c r="B504" s="16" t="s">
        <v>587</v>
      </c>
      <c r="C504" s="18" t="s">
        <v>12</v>
      </c>
      <c r="D504" s="18" t="s">
        <v>13</v>
      </c>
      <c r="E504" s="19">
        <v>7</v>
      </c>
      <c r="F504" s="20">
        <v>0.30556476742862476</v>
      </c>
      <c r="G504" s="21">
        <v>2.1389533720003735</v>
      </c>
      <c r="H504" s="19">
        <v>7</v>
      </c>
      <c r="I504" s="20">
        <v>0.30556476742862476</v>
      </c>
      <c r="J504" s="21">
        <v>2.1389533720003735</v>
      </c>
      <c r="K504" s="21">
        <v>0.51200000000000012</v>
      </c>
      <c r="L504" s="21">
        <v>1.0951441264641915</v>
      </c>
      <c r="M504" s="22" t="s">
        <v>15</v>
      </c>
      <c r="N504" s="22" t="s">
        <v>16</v>
      </c>
      <c r="O504" s="23">
        <v>1</v>
      </c>
      <c r="P504" s="20">
        <v>0.54531827687277212</v>
      </c>
    </row>
    <row r="505" spans="1:16">
      <c r="A505" s="16" t="s">
        <v>524</v>
      </c>
      <c r="B505" s="16" t="s">
        <v>588</v>
      </c>
      <c r="C505" s="18" t="s">
        <v>20</v>
      </c>
      <c r="D505" s="18" t="s">
        <v>20</v>
      </c>
      <c r="E505" s="19">
        <v>15</v>
      </c>
      <c r="F505" s="20">
        <v>0.36169425598386251</v>
      </c>
      <c r="G505" s="21">
        <v>5.4254138397579377</v>
      </c>
      <c r="H505" s="19">
        <v>16</v>
      </c>
      <c r="I505" s="20">
        <v>0.35818616294916017</v>
      </c>
      <c r="J505" s="21">
        <v>5.7309786071865627</v>
      </c>
      <c r="K505" s="21">
        <v>0.51200000000000012</v>
      </c>
      <c r="L505" s="21">
        <v>2.9342610468795209</v>
      </c>
      <c r="M505" s="22" t="s">
        <v>18</v>
      </c>
      <c r="N505" s="22" t="s">
        <v>16</v>
      </c>
      <c r="O505" s="23">
        <v>0.4</v>
      </c>
      <c r="P505" s="20">
        <v>0.98175575309692154</v>
      </c>
    </row>
    <row r="506" spans="1:16">
      <c r="A506" s="16" t="s">
        <v>525</v>
      </c>
      <c r="B506" s="16" t="s">
        <v>589</v>
      </c>
      <c r="C506" s="18" t="s">
        <v>20</v>
      </c>
      <c r="D506" s="18" t="s">
        <v>20</v>
      </c>
      <c r="E506" s="19">
        <v>17</v>
      </c>
      <c r="F506" s="20">
        <v>0.31085887873388252</v>
      </c>
      <c r="G506" s="21">
        <v>5.2846009384760029</v>
      </c>
      <c r="H506" s="19">
        <v>18</v>
      </c>
      <c r="I506" s="20">
        <v>0.31056476143914602</v>
      </c>
      <c r="J506" s="21">
        <v>5.5901657059046279</v>
      </c>
      <c r="K506" s="21">
        <v>0.51200000000000012</v>
      </c>
      <c r="L506" s="21">
        <v>2.8621648414231702</v>
      </c>
      <c r="M506" s="22" t="s">
        <v>15</v>
      </c>
      <c r="N506" s="22" t="s">
        <v>16</v>
      </c>
      <c r="O506" s="23">
        <v>1</v>
      </c>
      <c r="P506" s="20">
        <v>0.89120960060558652</v>
      </c>
    </row>
    <row r="507" spans="1:16">
      <c r="A507" s="16" t="s">
        <v>526</v>
      </c>
      <c r="B507" s="16" t="s">
        <v>593</v>
      </c>
      <c r="C507" s="18" t="s">
        <v>20</v>
      </c>
      <c r="D507" s="18" t="s">
        <v>20</v>
      </c>
      <c r="E507" s="19">
        <v>18</v>
      </c>
      <c r="F507" s="20">
        <v>0.32312448434579077</v>
      </c>
      <c r="G507" s="21">
        <v>5.8162407182242344</v>
      </c>
      <c r="H507" s="19">
        <v>19</v>
      </c>
      <c r="I507" s="20">
        <v>0.32220028871857154</v>
      </c>
      <c r="J507" s="21">
        <v>6.1218054856528594</v>
      </c>
      <c r="K507" s="21">
        <v>0.51200000000000012</v>
      </c>
      <c r="L507" s="21">
        <v>3.1343644086542648</v>
      </c>
      <c r="M507" s="22" t="s">
        <v>18</v>
      </c>
      <c r="N507" s="22" t="s">
        <v>18</v>
      </c>
      <c r="O507" s="23">
        <v>1</v>
      </c>
      <c r="P507" s="20">
        <v>0.90761476304560984</v>
      </c>
    </row>
    <row r="508" spans="1:16">
      <c r="A508" s="16" t="s">
        <v>527</v>
      </c>
      <c r="B508" s="16" t="s">
        <v>593</v>
      </c>
      <c r="C508" s="18" t="s">
        <v>20</v>
      </c>
      <c r="D508" s="18" t="s">
        <v>20</v>
      </c>
      <c r="E508" s="19">
        <v>18</v>
      </c>
      <c r="F508" s="20">
        <v>0.32312448434579077</v>
      </c>
      <c r="G508" s="21">
        <v>5.8162407182242344</v>
      </c>
      <c r="H508" s="19">
        <v>19</v>
      </c>
      <c r="I508" s="20">
        <v>0.32220028871857154</v>
      </c>
      <c r="J508" s="21">
        <v>6.1218054856528594</v>
      </c>
      <c r="K508" s="21">
        <v>0.51200000000000012</v>
      </c>
      <c r="L508" s="21">
        <v>3.1343644086542648</v>
      </c>
      <c r="M508" s="22" t="s">
        <v>18</v>
      </c>
      <c r="N508" s="22" t="s">
        <v>18</v>
      </c>
      <c r="O508" s="23">
        <v>1</v>
      </c>
      <c r="P508" s="20">
        <v>0.90761476304560984</v>
      </c>
    </row>
    <row r="509" spans="1:16">
      <c r="A509" s="16" t="s">
        <v>528</v>
      </c>
      <c r="B509" s="16" t="s">
        <v>592</v>
      </c>
      <c r="C509" s="18" t="s">
        <v>20</v>
      </c>
      <c r="D509" s="18" t="s">
        <v>20</v>
      </c>
      <c r="E509" s="19">
        <v>6</v>
      </c>
      <c r="F509" s="20">
        <v>0.28866469064665423</v>
      </c>
      <c r="G509" s="21">
        <v>1.7319881438799254</v>
      </c>
      <c r="H509" s="19">
        <v>7</v>
      </c>
      <c r="I509" s="20">
        <v>0.29107898732979287</v>
      </c>
      <c r="J509" s="21">
        <v>2.0375529113085502</v>
      </c>
      <c r="K509" s="21">
        <v>0.51200000000000012</v>
      </c>
      <c r="L509" s="21">
        <v>1.0432270905899779</v>
      </c>
      <c r="M509" s="22" t="s">
        <v>18</v>
      </c>
      <c r="N509" s="22" t="s">
        <v>16</v>
      </c>
      <c r="O509" s="23">
        <v>0.4</v>
      </c>
      <c r="P509" s="20">
        <v>0.87182802012330773</v>
      </c>
    </row>
    <row r="510" spans="1:16">
      <c r="A510" s="16" t="s">
        <v>529</v>
      </c>
      <c r="B510" s="16" t="s">
        <v>589</v>
      </c>
      <c r="C510" s="18" t="s">
        <v>20</v>
      </c>
      <c r="D510" s="18" t="s">
        <v>20</v>
      </c>
      <c r="E510" s="19">
        <v>16</v>
      </c>
      <c r="F510" s="20">
        <v>0.32449592612139888</v>
      </c>
      <c r="G510" s="21">
        <v>5.1919348179423821</v>
      </c>
      <c r="H510" s="19">
        <v>17</v>
      </c>
      <c r="I510" s="20">
        <v>0.32338232855123572</v>
      </c>
      <c r="J510" s="21">
        <v>5.4974995853710071</v>
      </c>
      <c r="K510" s="21">
        <v>0.51200000000000012</v>
      </c>
      <c r="L510" s="21">
        <v>2.8147197877099561</v>
      </c>
      <c r="M510" s="22" t="s">
        <v>18</v>
      </c>
      <c r="N510" s="22" t="s">
        <v>18</v>
      </c>
      <c r="O510" s="23">
        <v>1</v>
      </c>
      <c r="P510" s="20">
        <v>0.8879256406947903</v>
      </c>
    </row>
    <row r="511" spans="1:16">
      <c r="A511" s="16" t="s">
        <v>530</v>
      </c>
      <c r="B511" s="16" t="s">
        <v>589</v>
      </c>
      <c r="C511" s="18" t="s">
        <v>20</v>
      </c>
      <c r="D511" s="18" t="s">
        <v>20</v>
      </c>
      <c r="E511" s="19">
        <v>15</v>
      </c>
      <c r="F511" s="20">
        <v>0.32248710394156566</v>
      </c>
      <c r="G511" s="21">
        <v>4.8373065591234852</v>
      </c>
      <c r="H511" s="19">
        <v>16</v>
      </c>
      <c r="I511" s="20">
        <v>0.32142945790950689</v>
      </c>
      <c r="J511" s="21">
        <v>5.1428713265521102</v>
      </c>
      <c r="K511" s="21">
        <v>0.51200000000000012</v>
      </c>
      <c r="L511" s="21">
        <v>2.6331501191946809</v>
      </c>
      <c r="M511" s="22" t="s">
        <v>18</v>
      </c>
      <c r="N511" s="22" t="s">
        <v>16</v>
      </c>
      <c r="O511" s="23">
        <v>0.4</v>
      </c>
      <c r="P511" s="20">
        <v>0.9774440739742245</v>
      </c>
    </row>
    <row r="512" spans="1:16">
      <c r="A512" s="16" t="s">
        <v>531</v>
      </c>
      <c r="B512" s="16" t="s">
        <v>589</v>
      </c>
      <c r="C512" s="18" t="s">
        <v>20</v>
      </c>
      <c r="D512" s="18" t="s">
        <v>20</v>
      </c>
      <c r="E512" s="19">
        <v>11</v>
      </c>
      <c r="F512" s="20">
        <v>0.32463794610826763</v>
      </c>
      <c r="G512" s="21">
        <v>3.571017407190944</v>
      </c>
      <c r="H512" s="19">
        <v>12</v>
      </c>
      <c r="I512" s="20">
        <v>0.32304851455163069</v>
      </c>
      <c r="J512" s="21">
        <v>3.8765821746195686</v>
      </c>
      <c r="K512" s="21">
        <v>0.51200000000000012</v>
      </c>
      <c r="L512" s="21">
        <v>1.9848100734052196</v>
      </c>
      <c r="M512" s="22" t="s">
        <v>22</v>
      </c>
      <c r="N512" s="22" t="s">
        <v>16</v>
      </c>
      <c r="O512" s="23">
        <v>0.2</v>
      </c>
      <c r="P512" s="20">
        <v>0.98994841281072954</v>
      </c>
    </row>
    <row r="513" spans="1:20">
      <c r="A513" s="16" t="s">
        <v>532</v>
      </c>
      <c r="B513" s="16" t="s">
        <v>593</v>
      </c>
      <c r="C513" s="18" t="s">
        <v>20</v>
      </c>
      <c r="D513" s="18" t="s">
        <v>20</v>
      </c>
      <c r="E513" s="19">
        <v>17</v>
      </c>
      <c r="F513" s="20">
        <v>0.3217630634295206</v>
      </c>
      <c r="G513" s="21">
        <v>5.4699720783018506</v>
      </c>
      <c r="H513" s="19">
        <v>18</v>
      </c>
      <c r="I513" s="20">
        <v>0.32086315809613752</v>
      </c>
      <c r="J513" s="21">
        <v>5.7755368457304757</v>
      </c>
      <c r="K513" s="21">
        <v>0.51200000000000012</v>
      </c>
      <c r="L513" s="21">
        <v>2.9570748650140044</v>
      </c>
      <c r="M513" s="22" t="s">
        <v>18</v>
      </c>
      <c r="N513" s="22" t="s">
        <v>18</v>
      </c>
      <c r="O513" s="23">
        <v>1</v>
      </c>
      <c r="P513" s="20">
        <v>0.89737581499947494</v>
      </c>
    </row>
    <row r="514" spans="1:20">
      <c r="A514" s="16" t="s">
        <v>533</v>
      </c>
      <c r="B514" s="16"/>
      <c r="C514" s="18"/>
      <c r="D514" s="18"/>
      <c r="E514" s="19"/>
      <c r="F514" s="20"/>
      <c r="G514" s="21"/>
      <c r="H514" s="19"/>
      <c r="I514" s="20"/>
      <c r="J514" s="21"/>
      <c r="K514" s="21"/>
      <c r="L514" s="21"/>
      <c r="M514" s="22"/>
      <c r="N514" s="22"/>
      <c r="O514" s="23" t="s">
        <v>14</v>
      </c>
      <c r="P514" s="20"/>
    </row>
    <row r="515" spans="1:20">
      <c r="A515" s="16" t="s">
        <v>534</v>
      </c>
      <c r="B515" s="16" t="s">
        <v>587</v>
      </c>
      <c r="C515" s="18" t="s">
        <v>12</v>
      </c>
      <c r="D515" s="18" t="s">
        <v>13</v>
      </c>
      <c r="E515" s="19">
        <v>7</v>
      </c>
      <c r="F515" s="20">
        <v>0.30556476742862476</v>
      </c>
      <c r="G515" s="21">
        <v>2.1389533720003735</v>
      </c>
      <c r="H515" s="19">
        <v>7</v>
      </c>
      <c r="I515" s="20">
        <v>0.30556476742862476</v>
      </c>
      <c r="J515" s="21">
        <v>2.1389533720003735</v>
      </c>
      <c r="K515" s="21">
        <v>0.51200000000000012</v>
      </c>
      <c r="L515" s="21">
        <v>1.0951441264641915</v>
      </c>
      <c r="M515" s="22" t="s">
        <v>15</v>
      </c>
      <c r="N515" s="22" t="s">
        <v>16</v>
      </c>
      <c r="O515" s="23">
        <v>1</v>
      </c>
      <c r="P515" s="20">
        <v>0.54531827687277212</v>
      </c>
    </row>
    <row r="516" spans="1:20">
      <c r="A516" s="16" t="s">
        <v>535</v>
      </c>
      <c r="B516" s="16" t="s">
        <v>588</v>
      </c>
      <c r="C516" s="18" t="s">
        <v>20</v>
      </c>
      <c r="D516" s="18" t="s">
        <v>20</v>
      </c>
      <c r="E516" s="19">
        <v>15</v>
      </c>
      <c r="F516" s="20">
        <v>0.36169425598386251</v>
      </c>
      <c r="G516" s="21">
        <v>5.4254138397579377</v>
      </c>
      <c r="H516" s="19">
        <v>19</v>
      </c>
      <c r="I516" s="20">
        <v>0.34683777376464964</v>
      </c>
      <c r="J516" s="21">
        <v>6.5899177015283428</v>
      </c>
      <c r="K516" s="21">
        <v>0.51200000000000012</v>
      </c>
      <c r="L516" s="21">
        <v>3.3740378631825121</v>
      </c>
      <c r="M516" s="22" t="s">
        <v>18</v>
      </c>
      <c r="N516" s="22" t="s">
        <v>16</v>
      </c>
      <c r="O516" s="23">
        <v>0.4</v>
      </c>
      <c r="P516" s="20">
        <v>0.98614014402299055</v>
      </c>
    </row>
    <row r="517" spans="1:20">
      <c r="A517" s="16" t="s">
        <v>536</v>
      </c>
      <c r="B517" s="16" t="s">
        <v>598</v>
      </c>
      <c r="C517" s="18" t="s">
        <v>20</v>
      </c>
      <c r="D517" s="18" t="s">
        <v>20</v>
      </c>
      <c r="E517" s="19">
        <v>13</v>
      </c>
      <c r="F517" s="20">
        <v>0.30330153607962995</v>
      </c>
      <c r="G517" s="21">
        <v>3.9429199690351893</v>
      </c>
      <c r="H517" s="19">
        <v>17</v>
      </c>
      <c r="I517" s="20">
        <v>0.30043669592974082</v>
      </c>
      <c r="J517" s="21">
        <v>5.1074238308055939</v>
      </c>
      <c r="K517" s="21">
        <v>0.51200000000000012</v>
      </c>
      <c r="L517" s="21">
        <v>2.6150010013724647</v>
      </c>
      <c r="M517" s="22" t="s">
        <v>15</v>
      </c>
      <c r="N517" s="22" t="s">
        <v>18</v>
      </c>
      <c r="O517" s="23">
        <v>2.5</v>
      </c>
      <c r="P517" s="20">
        <v>0.52247172560840349</v>
      </c>
    </row>
    <row r="518" spans="1:20">
      <c r="A518" s="16" t="s">
        <v>537</v>
      </c>
      <c r="B518" s="16" t="s">
        <v>598</v>
      </c>
      <c r="C518" s="18" t="s">
        <v>20</v>
      </c>
      <c r="D518" s="18" t="s">
        <v>20</v>
      </c>
      <c r="E518" s="19">
        <v>14</v>
      </c>
      <c r="F518" s="20">
        <v>0.33445833112300394</v>
      </c>
      <c r="G518" s="21">
        <v>4.6824166357220554</v>
      </c>
      <c r="H518" s="19">
        <v>18</v>
      </c>
      <c r="I518" s="20">
        <v>0.3248289165273589</v>
      </c>
      <c r="J518" s="21">
        <v>5.8469204974924605</v>
      </c>
      <c r="K518" s="21">
        <v>0.51200000000000012</v>
      </c>
      <c r="L518" s="21">
        <v>2.9936232947161403</v>
      </c>
      <c r="M518" s="22" t="s">
        <v>18</v>
      </c>
      <c r="N518" s="22" t="s">
        <v>18</v>
      </c>
      <c r="O518" s="23">
        <v>1</v>
      </c>
      <c r="P518" s="20">
        <v>0.89961633796690377</v>
      </c>
    </row>
    <row r="519" spans="1:20">
      <c r="A519" s="16" t="s">
        <v>538</v>
      </c>
      <c r="B519" s="16" t="s">
        <v>592</v>
      </c>
      <c r="C519" s="18" t="s">
        <v>12</v>
      </c>
      <c r="D519" s="18" t="s">
        <v>13</v>
      </c>
      <c r="E519" s="19">
        <v>15</v>
      </c>
      <c r="F519" s="20">
        <v>0.28512126078791528</v>
      </c>
      <c r="G519" s="21">
        <v>4.2768189118187294</v>
      </c>
      <c r="H519" s="19">
        <v>15</v>
      </c>
      <c r="I519" s="20">
        <v>0.28512126078791528</v>
      </c>
      <c r="J519" s="21">
        <v>4.2768189118187294</v>
      </c>
      <c r="K519" s="21">
        <v>0.51200000000000012</v>
      </c>
      <c r="L519" s="21">
        <v>2.1897312828511901</v>
      </c>
      <c r="M519" s="22" t="s">
        <v>18</v>
      </c>
      <c r="N519" s="22" t="s">
        <v>18</v>
      </c>
      <c r="O519" s="23">
        <v>1</v>
      </c>
      <c r="P519" s="20">
        <v>0.82743515586318583</v>
      </c>
    </row>
    <row r="520" spans="1:20">
      <c r="A520" s="16" t="s">
        <v>539</v>
      </c>
      <c r="B520" s="16" t="s">
        <v>592</v>
      </c>
      <c r="C520" s="18" t="s">
        <v>12</v>
      </c>
      <c r="D520" s="18" t="s">
        <v>13</v>
      </c>
      <c r="E520" s="19">
        <v>16</v>
      </c>
      <c r="F520" s="20">
        <v>0.28392403736545008</v>
      </c>
      <c r="G520" s="21">
        <v>4.5427845978472012</v>
      </c>
      <c r="H520" s="19">
        <v>16</v>
      </c>
      <c r="I520" s="20">
        <v>0.28392403736545008</v>
      </c>
      <c r="J520" s="21">
        <v>4.5427845978472012</v>
      </c>
      <c r="K520" s="21">
        <v>0.51200000000000012</v>
      </c>
      <c r="L520" s="21">
        <v>2.3259057140977677</v>
      </c>
      <c r="M520" s="22" t="s">
        <v>18</v>
      </c>
      <c r="N520" s="22" t="s">
        <v>18</v>
      </c>
      <c r="O520" s="23">
        <v>1</v>
      </c>
      <c r="P520" s="20">
        <v>0.84398980207766894</v>
      </c>
    </row>
    <row r="521" spans="1:20" ht="15.75" thickBot="1">
      <c r="A521" s="24" t="s">
        <v>540</v>
      </c>
      <c r="B521" s="24" t="s">
        <v>593</v>
      </c>
      <c r="C521" s="25" t="s">
        <v>12</v>
      </c>
      <c r="D521" s="25" t="s">
        <v>13</v>
      </c>
      <c r="E521" s="26">
        <v>15</v>
      </c>
      <c r="F521" s="27">
        <v>0.28989379618841477</v>
      </c>
      <c r="G521" s="28">
        <v>4.3484069428262213</v>
      </c>
      <c r="H521" s="26">
        <v>15</v>
      </c>
      <c r="I521" s="27">
        <v>0.28989379618841477</v>
      </c>
      <c r="J521" s="28">
        <v>4.3484069428262213</v>
      </c>
      <c r="K521" s="28">
        <v>0.51200000000000012</v>
      </c>
      <c r="L521" s="28">
        <v>2.2263843547270259</v>
      </c>
      <c r="M521" s="29" t="s">
        <v>18</v>
      </c>
      <c r="N521" s="29" t="s">
        <v>18</v>
      </c>
      <c r="O521" s="30">
        <v>1</v>
      </c>
      <c r="P521" s="27">
        <v>0.83212427261858668</v>
      </c>
    </row>
    <row r="522" spans="1:20" ht="15.75" thickTop="1">
      <c r="A522" s="16"/>
      <c r="B522" s="16"/>
      <c r="C522" s="18"/>
      <c r="D522" s="18"/>
      <c r="E522" s="2" t="s">
        <v>610</v>
      </c>
      <c r="F522" s="3" t="s">
        <v>611</v>
      </c>
      <c r="G522" s="2" t="s">
        <v>612</v>
      </c>
      <c r="H522" s="2" t="s">
        <v>610</v>
      </c>
      <c r="I522" s="2" t="s">
        <v>611</v>
      </c>
      <c r="J522" s="2" t="s">
        <v>612</v>
      </c>
      <c r="K522" s="18"/>
      <c r="L522" s="2" t="s">
        <v>613</v>
      </c>
      <c r="M522" s="18" t="s">
        <v>541</v>
      </c>
      <c r="N522" s="18" t="s">
        <v>542</v>
      </c>
      <c r="O522" s="18" t="s">
        <v>614</v>
      </c>
      <c r="P522" s="18" t="s">
        <v>615</v>
      </c>
      <c r="R522" s="2" t="s">
        <v>543</v>
      </c>
      <c r="S522" s="2" t="s">
        <v>544</v>
      </c>
    </row>
    <row r="523" spans="1:20">
      <c r="A523" s="16"/>
      <c r="B523" s="16"/>
      <c r="C523" s="18"/>
      <c r="D523" s="18"/>
      <c r="E523" s="18">
        <v>12.610328638497652</v>
      </c>
      <c r="F523" s="18">
        <v>0.30392519216799257</v>
      </c>
      <c r="G523" s="18">
        <v>3.8450731604903416</v>
      </c>
      <c r="H523" s="18">
        <v>14.77699530516432</v>
      </c>
      <c r="I523" s="18">
        <v>0.29679224850022029</v>
      </c>
      <c r="J523" s="18">
        <v>4.3905491045894856</v>
      </c>
      <c r="K523" s="18"/>
      <c r="L523" s="18">
        <v>2.2479611415498209</v>
      </c>
      <c r="M523" s="18">
        <v>154</v>
      </c>
      <c r="N523" s="18">
        <v>238</v>
      </c>
      <c r="O523" s="18">
        <v>0.87300469483567611</v>
      </c>
      <c r="P523" s="18">
        <v>0.83108589005786127</v>
      </c>
      <c r="R523">
        <v>76</v>
      </c>
      <c r="S523" s="4">
        <v>0.17840375586854459</v>
      </c>
    </row>
    <row r="524" spans="1:20">
      <c r="A524" s="16"/>
      <c r="B524" s="16"/>
      <c r="C524" s="18"/>
      <c r="D524" s="18"/>
      <c r="E524" s="2" t="s">
        <v>616</v>
      </c>
      <c r="F524" s="2" t="s">
        <v>617</v>
      </c>
      <c r="G524" s="2" t="s">
        <v>618</v>
      </c>
      <c r="H524" s="2" t="s">
        <v>616</v>
      </c>
      <c r="I524" s="2" t="s">
        <v>617</v>
      </c>
      <c r="J524" s="2" t="s">
        <v>618</v>
      </c>
      <c r="K524" s="18"/>
      <c r="L524" s="2" t="s">
        <v>619</v>
      </c>
      <c r="M524" s="18" t="s">
        <v>545</v>
      </c>
      <c r="N524" s="18" t="s">
        <v>545</v>
      </c>
      <c r="O524" s="2" t="s">
        <v>620</v>
      </c>
      <c r="P524" s="2" t="s">
        <v>621</v>
      </c>
      <c r="R524" s="2" t="s">
        <v>546</v>
      </c>
      <c r="S524" s="2" t="s">
        <v>547</v>
      </c>
      <c r="T524" t="s">
        <v>622</v>
      </c>
    </row>
    <row r="525" spans="1:20">
      <c r="A525" s="16"/>
      <c r="B525" s="16"/>
      <c r="C525" s="18"/>
      <c r="D525" s="18"/>
      <c r="E525" s="18">
        <v>12</v>
      </c>
      <c r="F525" s="18">
        <v>0.30243319286939285</v>
      </c>
      <c r="G525" s="18">
        <v>3.6792205071914657</v>
      </c>
      <c r="H525" s="18">
        <v>14</v>
      </c>
      <c r="I525" s="18">
        <v>0.29687029955342392</v>
      </c>
      <c r="J525" s="18">
        <v>4.2382476311104824</v>
      </c>
      <c r="K525" s="18"/>
      <c r="L525" s="18">
        <v>2.1699827871285673</v>
      </c>
      <c r="M525" s="18">
        <v>165</v>
      </c>
      <c r="N525" s="18">
        <v>176</v>
      </c>
      <c r="O525" s="18">
        <v>0.5</v>
      </c>
      <c r="P525" s="18">
        <v>0.92164664803230434</v>
      </c>
      <c r="R525">
        <v>62</v>
      </c>
      <c r="S525" s="4">
        <v>0.14553990610328638</v>
      </c>
      <c r="T525">
        <v>0.61790918371792736</v>
      </c>
    </row>
    <row r="526" spans="1:20">
      <c r="A526" s="16"/>
      <c r="B526" s="16"/>
      <c r="C526" s="18"/>
      <c r="D526" s="18"/>
      <c r="E526" s="2" t="s">
        <v>623</v>
      </c>
      <c r="F526" s="2" t="s">
        <v>624</v>
      </c>
      <c r="G526" s="2" t="s">
        <v>625</v>
      </c>
      <c r="H526" s="2" t="s">
        <v>623</v>
      </c>
      <c r="I526" s="2" t="s">
        <v>624</v>
      </c>
      <c r="J526" s="2" t="s">
        <v>625</v>
      </c>
      <c r="K526" s="18"/>
      <c r="L526" s="2" t="s">
        <v>626</v>
      </c>
      <c r="M526" s="18" t="s">
        <v>548</v>
      </c>
      <c r="N526" s="2" t="s">
        <v>549</v>
      </c>
      <c r="O526" s="2" t="s">
        <v>627</v>
      </c>
      <c r="P526" s="2" t="s">
        <v>628</v>
      </c>
      <c r="R526" s="2" t="s">
        <v>550</v>
      </c>
      <c r="S526" s="2" t="s">
        <v>551</v>
      </c>
      <c r="T526" t="s">
        <v>622</v>
      </c>
    </row>
    <row r="527" spans="1:20">
      <c r="A527" s="16"/>
      <c r="B527" s="16"/>
      <c r="C527" s="18"/>
      <c r="D527" s="18"/>
      <c r="E527" s="18">
        <v>7</v>
      </c>
      <c r="F527" s="18">
        <v>0.30556476742862476</v>
      </c>
      <c r="G527" s="18">
        <v>2.1389533720003735</v>
      </c>
      <c r="H527" s="18">
        <v>10</v>
      </c>
      <c r="I527" s="18">
        <v>0.30556476742862476</v>
      </c>
      <c r="J527" s="18">
        <v>2.1389533720003735</v>
      </c>
      <c r="K527" s="18"/>
      <c r="L527" s="18">
        <v>1.0951441264641915</v>
      </c>
      <c r="M527" s="18">
        <v>96</v>
      </c>
      <c r="N527" s="18">
        <v>12</v>
      </c>
      <c r="O527" s="18">
        <v>1</v>
      </c>
      <c r="P527" s="18">
        <v>0.54531827687277212</v>
      </c>
      <c r="R527">
        <v>288</v>
      </c>
      <c r="S527" s="4">
        <v>0.676056338028169</v>
      </c>
      <c r="T527">
        <v>0.83108589005786127</v>
      </c>
    </row>
    <row r="528" spans="1:20">
      <c r="A528" s="16"/>
      <c r="B528" s="16"/>
      <c r="C528" s="18"/>
      <c r="D528" s="18"/>
      <c r="E528" s="2" t="s">
        <v>552</v>
      </c>
      <c r="F528" s="2" t="s">
        <v>552</v>
      </c>
      <c r="G528" s="2" t="s">
        <v>552</v>
      </c>
      <c r="H528" s="2" t="s">
        <v>552</v>
      </c>
      <c r="I528" s="2" t="s">
        <v>552</v>
      </c>
      <c r="J528" s="2" t="s">
        <v>552</v>
      </c>
      <c r="K528" s="18"/>
      <c r="L528" s="2" t="s">
        <v>552</v>
      </c>
      <c r="M528" s="2" t="s">
        <v>553</v>
      </c>
      <c r="N528" s="18"/>
      <c r="O528" s="2"/>
      <c r="P528" s="2" t="s">
        <v>552</v>
      </c>
    </row>
    <row r="529" spans="1:19">
      <c r="A529" s="16"/>
      <c r="B529" s="16"/>
      <c r="C529" s="18"/>
      <c r="D529" s="18"/>
      <c r="E529" s="18">
        <v>4</v>
      </c>
      <c r="F529" s="18">
        <v>0.22448856098038172</v>
      </c>
      <c r="G529" s="18">
        <v>0.91798636896753294</v>
      </c>
      <c r="H529" s="18">
        <v>5</v>
      </c>
      <c r="I529" s="18">
        <v>0.22192506506291562</v>
      </c>
      <c r="J529" s="18">
        <v>1.3469313658822903</v>
      </c>
      <c r="K529" s="18"/>
      <c r="L529" s="18">
        <v>0.68962885933173279</v>
      </c>
      <c r="M529" s="18">
        <v>11</v>
      </c>
      <c r="N529" s="18"/>
      <c r="O529" s="18" t="s">
        <v>693</v>
      </c>
      <c r="P529" s="18">
        <v>5.2815181275783718E-2</v>
      </c>
      <c r="R529" s="2" t="s">
        <v>554</v>
      </c>
      <c r="S529" s="2" t="s">
        <v>555</v>
      </c>
    </row>
    <row r="530" spans="1:19">
      <c r="A530" s="16"/>
      <c r="B530" s="16"/>
      <c r="C530" s="18"/>
      <c r="D530" s="18"/>
      <c r="E530" s="2" t="s">
        <v>556</v>
      </c>
      <c r="F530" s="2" t="s">
        <v>556</v>
      </c>
      <c r="G530" s="2" t="s">
        <v>556</v>
      </c>
      <c r="H530" s="2" t="s">
        <v>556</v>
      </c>
      <c r="I530" s="2" t="s">
        <v>556</v>
      </c>
      <c r="J530" s="2" t="s">
        <v>556</v>
      </c>
      <c r="K530" s="18"/>
      <c r="L530" s="2" t="s">
        <v>556</v>
      </c>
      <c r="M530" s="18"/>
      <c r="N530" s="18"/>
      <c r="O530" s="2">
        <v>0.61790918371792736</v>
      </c>
      <c r="P530" s="2" t="s">
        <v>556</v>
      </c>
      <c r="R530">
        <v>-1.624384169621276</v>
      </c>
      <c r="S530">
        <v>8.9916009292076451E-2</v>
      </c>
    </row>
    <row r="531" spans="1:19">
      <c r="A531" s="16"/>
      <c r="B531" s="16"/>
      <c r="C531" s="18"/>
      <c r="D531" s="18"/>
      <c r="E531" s="18">
        <v>25</v>
      </c>
      <c r="F531" s="18">
        <v>0.36304141811963569</v>
      </c>
      <c r="G531" s="18">
        <v>7.4565500995930751</v>
      </c>
      <c r="H531" s="18">
        <v>30</v>
      </c>
      <c r="I531" s="18">
        <v>0.36304141811963569</v>
      </c>
      <c r="J531" s="18">
        <v>8.4345564721033384</v>
      </c>
      <c r="K531" s="18"/>
      <c r="L531" s="18">
        <v>4.3184929137169101</v>
      </c>
      <c r="M531" s="18"/>
      <c r="N531" s="18"/>
      <c r="O531" s="18"/>
      <c r="P531" s="18">
        <v>0.99724620613591941</v>
      </c>
      <c r="R531" s="2" t="s">
        <v>557</v>
      </c>
      <c r="S531" s="2" t="s">
        <v>558</v>
      </c>
    </row>
    <row r="532" spans="1:19">
      <c r="A532" s="16"/>
      <c r="B532" s="16"/>
      <c r="C532" s="18"/>
      <c r="D532" s="18"/>
      <c r="E532" s="2" t="s">
        <v>559</v>
      </c>
      <c r="F532" s="2" t="s">
        <v>559</v>
      </c>
      <c r="G532" s="2" t="s">
        <v>559</v>
      </c>
      <c r="H532" s="2" t="s">
        <v>559</v>
      </c>
      <c r="I532" s="2" t="s">
        <v>559</v>
      </c>
      <c r="J532" s="2" t="s">
        <v>559</v>
      </c>
      <c r="K532" s="18"/>
      <c r="L532" s="2" t="s">
        <v>559</v>
      </c>
      <c r="M532" s="18"/>
      <c r="N532" s="18"/>
      <c r="O532" s="18"/>
      <c r="P532" s="2" t="s">
        <v>559</v>
      </c>
      <c r="R532">
        <v>0.76092657814351694</v>
      </c>
      <c r="S532">
        <v>3.2856789532637015E-2</v>
      </c>
    </row>
    <row r="533" spans="1:19">
      <c r="A533" s="16"/>
      <c r="B533" s="16"/>
      <c r="C533" s="18"/>
      <c r="D533" s="18"/>
      <c r="E533" s="18">
        <v>4.8521121082242198</v>
      </c>
      <c r="F533" s="18">
        <v>2.8597535064174551E-2</v>
      </c>
      <c r="G533" s="18">
        <v>1.5144405163311296</v>
      </c>
      <c r="H533" s="18">
        <v>5.3325588978499798</v>
      </c>
      <c r="I533" s="18">
        <v>2.7689176987105379E-2</v>
      </c>
      <c r="J533" s="18">
        <v>1.6280948486754769</v>
      </c>
      <c r="K533" s="18"/>
      <c r="L533" s="18">
        <v>0.83358456252182922</v>
      </c>
      <c r="M533" s="18"/>
      <c r="N533" s="18">
        <v>0.26910307151311491</v>
      </c>
      <c r="O533" s="18"/>
      <c r="P533" s="18">
        <v>0.21317670633993385</v>
      </c>
      <c r="R533" s="2" t="s">
        <v>560</v>
      </c>
      <c r="S533" s="2" t="s">
        <v>561</v>
      </c>
    </row>
    <row r="534" spans="1:19">
      <c r="R534">
        <v>0.92164664803230434</v>
      </c>
      <c r="S534">
        <v>-0.83884405955017416</v>
      </c>
    </row>
    <row r="535" spans="1:19">
      <c r="E535" s="2" t="s">
        <v>562</v>
      </c>
      <c r="F535" s="2" t="s">
        <v>562</v>
      </c>
      <c r="G535" s="2" t="s">
        <v>562</v>
      </c>
      <c r="H535" s="2" t="s">
        <v>562</v>
      </c>
      <c r="I535" s="2" t="s">
        <v>562</v>
      </c>
      <c r="J535" s="2" t="s">
        <v>562</v>
      </c>
      <c r="L535" s="2" t="s">
        <v>562</v>
      </c>
      <c r="O535" s="2"/>
      <c r="P535" s="2" t="s">
        <v>562</v>
      </c>
      <c r="R535" s="2" t="s">
        <v>563</v>
      </c>
      <c r="S535" s="2" t="s">
        <v>564</v>
      </c>
    </row>
    <row r="536" spans="1:19">
      <c r="E536">
        <v>12.789137380191693</v>
      </c>
      <c r="F536">
        <v>0.30199615947973912</v>
      </c>
      <c r="G536">
        <v>3.8715971515466432</v>
      </c>
      <c r="H536">
        <v>15.293929712460065</v>
      </c>
      <c r="I536">
        <v>0.29522259921131883</v>
      </c>
      <c r="J536">
        <v>4.5193795685791409</v>
      </c>
      <c r="L536">
        <v>2.3139223391125241</v>
      </c>
      <c r="P536">
        <v>0.8094263355927922</v>
      </c>
      <c r="R536">
        <v>0.98080678748766004</v>
      </c>
      <c r="S536">
        <v>0.3163227634286474</v>
      </c>
    </row>
    <row r="537" spans="1:19">
      <c r="E537" s="2" t="s">
        <v>565</v>
      </c>
      <c r="F537" s="2" t="s">
        <v>565</v>
      </c>
      <c r="G537" s="2" t="s">
        <v>565</v>
      </c>
      <c r="H537" s="2" t="s">
        <v>565</v>
      </c>
      <c r="I537" s="2" t="s">
        <v>565</v>
      </c>
      <c r="J537" s="2" t="s">
        <v>565</v>
      </c>
      <c r="L537" s="2" t="s">
        <v>565</v>
      </c>
      <c r="O537" s="2"/>
      <c r="P537" s="2" t="s">
        <v>565</v>
      </c>
      <c r="R537" s="2"/>
      <c r="S537" s="2" t="s">
        <v>566</v>
      </c>
    </row>
    <row r="538" spans="1:19">
      <c r="E538">
        <v>11.659090909090908</v>
      </c>
      <c r="F538">
        <v>0.30732836636888744</v>
      </c>
      <c r="G538">
        <v>3.6040401297664428</v>
      </c>
      <c r="H538">
        <v>12.818181818181818</v>
      </c>
      <c r="I538">
        <v>0.29762367972476572</v>
      </c>
      <c r="J538">
        <v>3.8151705435200687</v>
      </c>
      <c r="L538">
        <v>1.9533673182822762</v>
      </c>
      <c r="P538">
        <v>0.8982319109602489</v>
      </c>
      <c r="S538">
        <v>0.21369974683649409</v>
      </c>
    </row>
    <row r="539" spans="1:19">
      <c r="E539" s="2" t="s">
        <v>567</v>
      </c>
      <c r="F539" s="2" t="s">
        <v>567</v>
      </c>
      <c r="G539" s="2" t="s">
        <v>567</v>
      </c>
      <c r="H539" s="2" t="s">
        <v>567</v>
      </c>
      <c r="I539" s="2" t="s">
        <v>567</v>
      </c>
      <c r="J539" s="2" t="s">
        <v>567</v>
      </c>
      <c r="L539" s="2" t="s">
        <v>567</v>
      </c>
      <c r="O539" s="2"/>
      <c r="P539" s="2" t="s">
        <v>567</v>
      </c>
      <c r="S539" s="2" t="s">
        <v>568</v>
      </c>
    </row>
    <row r="540" spans="1:19">
      <c r="E540">
        <v>13.72</v>
      </c>
      <c r="F540">
        <v>0.31609750823777871</v>
      </c>
      <c r="G540">
        <v>4.3614290606136299</v>
      </c>
      <c r="H540">
        <v>15.2</v>
      </c>
      <c r="I540">
        <v>0.31351761968686837</v>
      </c>
      <c r="J540">
        <v>4.8029242304033968</v>
      </c>
      <c r="L540">
        <v>2.4590972059665401</v>
      </c>
      <c r="P540">
        <v>0.86590951838411401</v>
      </c>
      <c r="S540">
        <v>0.37141050267834025</v>
      </c>
    </row>
    <row r="541" spans="1:19">
      <c r="E541" s="2" t="s">
        <v>569</v>
      </c>
      <c r="F541" s="2" t="s">
        <v>569</v>
      </c>
      <c r="G541" s="2" t="s">
        <v>569</v>
      </c>
      <c r="H541" s="2" t="s">
        <v>569</v>
      </c>
      <c r="I541" s="2" t="s">
        <v>569</v>
      </c>
      <c r="J541" s="2" t="s">
        <v>569</v>
      </c>
      <c r="L541" s="2" t="s">
        <v>569</v>
      </c>
      <c r="O541" s="2"/>
      <c r="P541" s="2" t="s">
        <v>569</v>
      </c>
      <c r="S541" s="2" t="s">
        <v>570</v>
      </c>
    </row>
    <row r="542" spans="1:19">
      <c r="E542">
        <v>12</v>
      </c>
      <c r="F542">
        <v>0.30134318224685253</v>
      </c>
      <c r="G542">
        <v>3.6434457238277003</v>
      </c>
      <c r="H542">
        <v>15</v>
      </c>
      <c r="I542">
        <v>0.29197381984013593</v>
      </c>
      <c r="J542">
        <v>4.322291357832051</v>
      </c>
      <c r="L542">
        <v>2.2130131752100106</v>
      </c>
      <c r="P542">
        <v>0.91354938588610302</v>
      </c>
      <c r="S542">
        <v>0.10091415519607648</v>
      </c>
    </row>
    <row r="543" spans="1:19">
      <c r="E543" s="2" t="s">
        <v>571</v>
      </c>
      <c r="F543" s="2" t="s">
        <v>571</v>
      </c>
      <c r="G543" s="2" t="s">
        <v>571</v>
      </c>
      <c r="H543" s="2" t="s">
        <v>571</v>
      </c>
      <c r="I543" s="2" t="s">
        <v>571</v>
      </c>
      <c r="J543" s="2" t="s">
        <v>571</v>
      </c>
      <c r="L543" s="2" t="s">
        <v>571</v>
      </c>
      <c r="O543" s="2"/>
      <c r="P543" s="2" t="s">
        <v>571</v>
      </c>
      <c r="S543" s="2" t="s">
        <v>572</v>
      </c>
    </row>
    <row r="544" spans="1:19">
      <c r="E544">
        <v>12</v>
      </c>
      <c r="F544">
        <v>0.30440872457745027</v>
      </c>
      <c r="G544">
        <v>3.628800741205489</v>
      </c>
      <c r="H544">
        <v>13</v>
      </c>
      <c r="I544">
        <v>0.30241662731825847</v>
      </c>
      <c r="J544">
        <v>3.7833691031184831</v>
      </c>
      <c r="L544">
        <v>1.9370849807966639</v>
      </c>
      <c r="P544">
        <v>0.97000929801126334</v>
      </c>
      <c r="S544">
        <v>0.87975328060637947</v>
      </c>
    </row>
    <row r="545" spans="5:19">
      <c r="E545" s="2" t="s">
        <v>573</v>
      </c>
      <c r="F545" s="2" t="s">
        <v>573</v>
      </c>
      <c r="G545" s="2" t="s">
        <v>573</v>
      </c>
      <c r="H545" s="2" t="s">
        <v>573</v>
      </c>
      <c r="I545" s="2" t="s">
        <v>573</v>
      </c>
      <c r="J545" s="2" t="s">
        <v>573</v>
      </c>
      <c r="L545" s="2" t="s">
        <v>573</v>
      </c>
      <c r="O545" s="2"/>
      <c r="P545" s="2" t="s">
        <v>573</v>
      </c>
      <c r="S545" s="2" t="s">
        <v>574</v>
      </c>
    </row>
    <row r="546" spans="5:19">
      <c r="E546">
        <v>15</v>
      </c>
      <c r="F546">
        <v>0.32140632247175804</v>
      </c>
      <c r="G546">
        <v>4.6824166357220554</v>
      </c>
      <c r="H546">
        <v>16</v>
      </c>
      <c r="I546">
        <v>0.31627814001627613</v>
      </c>
      <c r="J546">
        <v>5.1530049382615282</v>
      </c>
      <c r="L546">
        <v>2.638338528389903</v>
      </c>
      <c r="P546">
        <v>0.90464112812371777</v>
      </c>
      <c r="S546">
        <v>0.3522581462862675</v>
      </c>
    </row>
    <row r="547" spans="5:19">
      <c r="E547" s="2" t="s">
        <v>575</v>
      </c>
      <c r="F547" s="2" t="s">
        <v>575</v>
      </c>
      <c r="G547" s="2" t="s">
        <v>575</v>
      </c>
      <c r="H547" s="2" t="s">
        <v>575</v>
      </c>
      <c r="I547" s="2" t="s">
        <v>575</v>
      </c>
      <c r="J547" s="2" t="s">
        <v>575</v>
      </c>
      <c r="L547" s="2" t="s">
        <v>575</v>
      </c>
      <c r="O547" s="2"/>
      <c r="P547" s="2" t="s">
        <v>575</v>
      </c>
      <c r="S547" s="2" t="s">
        <v>576</v>
      </c>
    </row>
    <row r="548" spans="5:19">
      <c r="E548">
        <v>5.0952727799618378</v>
      </c>
      <c r="F548">
        <v>3.0004628767689969E-2</v>
      </c>
      <c r="G548">
        <v>1.5700979767557808</v>
      </c>
      <c r="H548">
        <v>5.6292956436628687</v>
      </c>
      <c r="I548">
        <v>2.6884625495711342E-2</v>
      </c>
      <c r="J548">
        <v>1.701213720800784</v>
      </c>
      <c r="L548">
        <v>0.87102142504998992</v>
      </c>
      <c r="P548">
        <v>0.22870336863031768</v>
      </c>
      <c r="S548">
        <v>0.9649301364763293</v>
      </c>
    </row>
    <row r="549" spans="5:19">
      <c r="E549" s="2" t="s">
        <v>577</v>
      </c>
      <c r="F549" s="2" t="s">
        <v>577</v>
      </c>
      <c r="G549" s="2" t="s">
        <v>577</v>
      </c>
      <c r="H549" s="2" t="s">
        <v>577</v>
      </c>
      <c r="I549" s="2" t="s">
        <v>577</v>
      </c>
      <c r="J549" s="2" t="s">
        <v>577</v>
      </c>
      <c r="L549" s="2" t="s">
        <v>577</v>
      </c>
      <c r="O549" s="2"/>
      <c r="P549" s="2" t="s">
        <v>577</v>
      </c>
      <c r="S549" s="2" t="s">
        <v>578</v>
      </c>
    </row>
    <row r="550" spans="5:19">
      <c r="E550">
        <v>4.1213945961200933</v>
      </c>
      <c r="F550">
        <v>2.3345702723313547E-2</v>
      </c>
      <c r="G550">
        <v>1.3418728486313576</v>
      </c>
      <c r="H550">
        <v>3.9669480858699764</v>
      </c>
      <c r="I550">
        <v>3.0757009714572361E-2</v>
      </c>
      <c r="J550">
        <v>1.2449040528609694</v>
      </c>
      <c r="L550">
        <v>0.63739087506481429</v>
      </c>
      <c r="P550">
        <v>0.14750535151252386</v>
      </c>
      <c r="S550">
        <v>0.28309815638311187</v>
      </c>
    </row>
    <row r="551" spans="5:19">
      <c r="E551" s="2" t="s">
        <v>579</v>
      </c>
      <c r="F551" s="2" t="s">
        <v>579</v>
      </c>
      <c r="G551" s="2" t="s">
        <v>579</v>
      </c>
      <c r="H551" s="2" t="s">
        <v>579</v>
      </c>
      <c r="I551" s="2" t="s">
        <v>579</v>
      </c>
      <c r="J551" s="2" t="s">
        <v>579</v>
      </c>
      <c r="L551" s="2" t="s">
        <v>579</v>
      </c>
      <c r="O551" s="2"/>
      <c r="P551" s="2" t="s">
        <v>579</v>
      </c>
      <c r="S551" s="2" t="s">
        <v>580</v>
      </c>
    </row>
    <row r="552" spans="5:19">
      <c r="E552">
        <v>3.7139377126351123</v>
      </c>
      <c r="F552">
        <v>2.4323603496946313E-2</v>
      </c>
      <c r="G552">
        <v>1.2787775522373825</v>
      </c>
      <c r="H552">
        <v>4.2426406871192848</v>
      </c>
      <c r="I552">
        <v>2.1384319805519796E-2</v>
      </c>
      <c r="J552">
        <v>1.4834669058739376</v>
      </c>
      <c r="L552">
        <v>0.75953505580745606</v>
      </c>
      <c r="P552">
        <v>0.15454228143220308</v>
      </c>
      <c r="S552">
        <v>0.39044341522042397</v>
      </c>
    </row>
    <row r="554" spans="5:19">
      <c r="I554" t="s">
        <v>694</v>
      </c>
      <c r="P554" t="s">
        <v>695</v>
      </c>
    </row>
    <row r="555" spans="5:19">
      <c r="I555">
        <v>0.29679224850022029</v>
      </c>
      <c r="P555" t="s">
        <v>696</v>
      </c>
    </row>
    <row r="556" spans="5:19">
      <c r="I556" t="s">
        <v>697</v>
      </c>
      <c r="P556">
        <v>3.3647421955854349E-6</v>
      </c>
    </row>
    <row r="557" spans="5:19">
      <c r="I557">
        <v>0.26910307151311491</v>
      </c>
      <c r="P557" t="s">
        <v>698</v>
      </c>
    </row>
    <row r="558" spans="5:19">
      <c r="P558">
        <v>1.9873330123252547E-5</v>
      </c>
    </row>
    <row r="559" spans="5:19">
      <c r="P559" t="s">
        <v>699</v>
      </c>
    </row>
    <row r="560" spans="5:19">
      <c r="P560" t="s">
        <v>696</v>
      </c>
    </row>
    <row r="561" spans="16:16">
      <c r="P561">
        <v>2.4147703618527507E-2</v>
      </c>
    </row>
    <row r="562" spans="16:16">
      <c r="P562" t="s">
        <v>698</v>
      </c>
    </row>
    <row r="563" spans="16:16">
      <c r="P563">
        <v>0.10123021229144516</v>
      </c>
    </row>
    <row r="564" spans="16:16">
      <c r="P564" t="s">
        <v>700</v>
      </c>
    </row>
    <row r="565" spans="16:16">
      <c r="P565" t="s">
        <v>696</v>
      </c>
    </row>
    <row r="566" spans="16:16">
      <c r="P566">
        <v>0.72732715947329285</v>
      </c>
    </row>
    <row r="567" spans="16:16">
      <c r="P567" t="s">
        <v>698</v>
      </c>
    </row>
    <row r="568" spans="16:16">
      <c r="P568">
        <v>0.34073873732415194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8DF0-4486-422A-8C14-49CC54F8D4AC}">
  <dimension ref="A1:BL523"/>
  <sheetViews>
    <sheetView zoomScaleNormal="100" workbookViewId="0">
      <pane xSplit="3" ySplit="2" topLeftCell="AF3" activePane="bottomRight" state="frozen"/>
      <selection activeCell="J8" sqref="J8"/>
      <selection pane="topRight" activeCell="J8" sqref="J8"/>
      <selection pane="bottomLeft" activeCell="J8" sqref="J8"/>
      <selection pane="bottomRight" activeCell="A6" sqref="A1:AQ522"/>
    </sheetView>
  </sheetViews>
  <sheetFormatPr defaultRowHeight="15.75"/>
  <cols>
    <col min="1" max="1" width="16.42578125" style="8" bestFit="1" customWidth="1"/>
    <col min="2" max="2" width="53.85546875" style="5" bestFit="1" customWidth="1"/>
    <col min="3" max="5" width="9.140625" style="7"/>
    <col min="6" max="6" width="13.5703125" style="7" bestFit="1" customWidth="1"/>
    <col min="7" max="11" width="9.140625" style="7"/>
    <col min="12" max="12" width="13.5703125" style="7" bestFit="1" customWidth="1"/>
    <col min="13" max="13" width="9.140625" style="7"/>
    <col min="14" max="14" width="13.5703125" style="7" bestFit="1" customWidth="1"/>
    <col min="15" max="20" width="9.140625" style="7"/>
    <col min="21" max="21" width="13.5703125" style="7" bestFit="1" customWidth="1"/>
    <col min="22" max="26" width="9.140625" style="7"/>
    <col min="27" max="27" width="13.5703125" style="7" bestFit="1" customWidth="1"/>
    <col min="28" max="43" width="9.140625" style="7"/>
    <col min="44" max="16384" width="9.140625" style="5"/>
  </cols>
  <sheetData>
    <row r="1" spans="1:45" ht="177.75" customHeight="1">
      <c r="A1" s="11" t="s">
        <v>0</v>
      </c>
      <c r="B1" s="12" t="s">
        <v>586</v>
      </c>
      <c r="C1" s="13" t="s">
        <v>590</v>
      </c>
      <c r="D1" s="13" t="s">
        <v>595</v>
      </c>
      <c r="E1" s="13" t="s">
        <v>597</v>
      </c>
      <c r="F1" s="13" t="s">
        <v>587</v>
      </c>
      <c r="G1" s="13" t="s">
        <v>588</v>
      </c>
      <c r="H1" s="13" t="s">
        <v>607</v>
      </c>
      <c r="I1" s="13" t="s">
        <v>604</v>
      </c>
      <c r="J1" s="13" t="s">
        <v>680</v>
      </c>
      <c r="K1" s="13" t="s">
        <v>678</v>
      </c>
      <c r="L1" s="13" t="s">
        <v>602</v>
      </c>
      <c r="M1" s="13" t="s">
        <v>606</v>
      </c>
      <c r="N1" s="13" t="s">
        <v>674</v>
      </c>
      <c r="O1" s="13" t="s">
        <v>599</v>
      </c>
      <c r="P1" s="13" t="s">
        <v>671</v>
      </c>
      <c r="Q1" s="13" t="s">
        <v>669</v>
      </c>
      <c r="R1" s="13" t="s">
        <v>667</v>
      </c>
      <c r="S1" s="13" t="s">
        <v>665</v>
      </c>
      <c r="T1" s="13" t="s">
        <v>663</v>
      </c>
      <c r="U1" s="13" t="s">
        <v>661</v>
      </c>
      <c r="V1" s="13" t="s">
        <v>596</v>
      </c>
      <c r="W1" s="13" t="s">
        <v>658</v>
      </c>
      <c r="X1" s="13" t="s">
        <v>656</v>
      </c>
      <c r="Y1" s="13" t="s">
        <v>589</v>
      </c>
      <c r="Z1" s="13" t="s">
        <v>609</v>
      </c>
      <c r="AA1" s="13" t="s">
        <v>591</v>
      </c>
      <c r="AB1" s="13" t="s">
        <v>651</v>
      </c>
      <c r="AC1" s="13" t="s">
        <v>649</v>
      </c>
      <c r="AD1" s="13" t="s">
        <v>593</v>
      </c>
      <c r="AE1" s="13" t="s">
        <v>605</v>
      </c>
      <c r="AF1" s="13" t="s">
        <v>592</v>
      </c>
      <c r="AG1" s="13" t="s">
        <v>598</v>
      </c>
      <c r="AH1" s="13" t="s">
        <v>643</v>
      </c>
      <c r="AI1" s="13" t="s">
        <v>600</v>
      </c>
      <c r="AJ1" s="13" t="s">
        <v>639</v>
      </c>
      <c r="AK1" s="13" t="s">
        <v>637</v>
      </c>
      <c r="AL1" s="13" t="s">
        <v>603</v>
      </c>
      <c r="AM1" s="13" t="s">
        <v>601</v>
      </c>
      <c r="AN1" s="13" t="s">
        <v>633</v>
      </c>
      <c r="AO1" s="13" t="s">
        <v>594</v>
      </c>
      <c r="AP1" s="13" t="s">
        <v>630</v>
      </c>
      <c r="AQ1" s="13" t="s">
        <v>608</v>
      </c>
      <c r="AS1" s="10"/>
    </row>
    <row r="2" spans="1:45" s="9" customFormat="1" ht="13.5">
      <c r="A2" s="11"/>
      <c r="B2" s="12"/>
      <c r="C2" s="14">
        <f>IFERROR(INDEX([1]GWA_Scores!$D:$D, MATCH(C$1, [1]GWA_Scores!$B:$B, 0)), "Missing")</f>
        <v>0.29603631589930868</v>
      </c>
      <c r="D2" s="14">
        <f>IFERROR(INDEX([1]GWA_Scores!$D:$D, MATCH(D$1, [1]GWA_Scores!$B:$B, 0)), "Missing")</f>
        <v>0.24462024657332535</v>
      </c>
      <c r="E2" s="14">
        <f>IFERROR(INDEX([1]GWA_Scores!$D:$D, MATCH(E$1, [1]GWA_Scores!$B:$B, 0)), "Missing")</f>
        <v>0.32898971213891698</v>
      </c>
      <c r="F2" s="14">
        <f>IFERROR(INDEX([1]GWA_Scores!$D:$D, MATCH(F$1, [1]GWA_Scores!$B:$B, 0)), "Missing")</f>
        <v>0.18962161404416805</v>
      </c>
      <c r="G2" s="14">
        <f>IFERROR(INDEX([1]GWA_Scores!$D:$D, MATCH(G$1, [1]GWA_Scores!$B:$B, 0)), "Missing")</f>
        <v>0.34317805621536407</v>
      </c>
      <c r="H2" s="14">
        <f>IFERROR(INDEX([1]GWA_Scores!$D:$D, MATCH(H$1, [1]GWA_Scores!$B:$B, 0)), "Missing")</f>
        <v>0.27739895597524128</v>
      </c>
      <c r="I2" s="14">
        <f>IFERROR(INDEX([1]GWA_Scores!$D:$D, MATCH(I$1, [1]GWA_Scores!$B:$B, 0)), "Missing")</f>
        <v>0.31411922782970092</v>
      </c>
      <c r="J2" s="14">
        <f>IFERROR(INDEX([1]GWA_Scores!$D:$D, MATCH(J$1, [1]GWA_Scores!$B:$B, 0)), "Missing")</f>
        <v>0.28539525279008732</v>
      </c>
      <c r="K2" s="14">
        <f>IFERROR(INDEX([1]GWA_Scores!$D:$D, MATCH(K$1, [1]GWA_Scores!$B:$B, 0)), "Missing")</f>
        <v>0.2811719320496559</v>
      </c>
      <c r="L2" s="14">
        <f>IFERROR(INDEX([1]GWA_Scores!$D:$D, MATCH(L$1, [1]GWA_Scores!$B:$B, 0)), "Missing")</f>
        <v>0.33333333333333298</v>
      </c>
      <c r="M2" s="14">
        <f>IFERROR(INDEX([1]GWA_Scores!$D:$D, MATCH(M$1, [1]GWA_Scores!$B:$B, 0)), "Missing")</f>
        <v>0.35462825881889715</v>
      </c>
      <c r="N2" s="14">
        <f>IFERROR(INDEX([1]GWA_Scores!$D:$D, MATCH(N$1, [1]GWA_Scores!$B:$B, 0)), "Missing")</f>
        <v>0.30099999999999999</v>
      </c>
      <c r="O2" s="14">
        <f>IFERROR(INDEX([1]GWA_Scores!$D:$D, MATCH(O$1, [1]GWA_Scores!$B:$B, 0)), "Missing")</f>
        <v>0.39780638743924057</v>
      </c>
      <c r="P2" s="14">
        <f>IFERROR(INDEX([1]GWA_Scores!$D:$D, MATCH(P$1, [1]GWA_Scores!$B:$B, 0)), "Missing")</f>
        <v>0.45757720465005436</v>
      </c>
      <c r="Q2" s="14">
        <f>IFERROR(INDEX([1]GWA_Scores!$D:$D, MATCH(Q$1, [1]GWA_Scores!$B:$B, 0)), "Missing")</f>
        <v>0.22826980839118416</v>
      </c>
      <c r="R2" s="14">
        <f>IFERROR(INDEX([1]GWA_Scores!$D:$D, MATCH(R$1, [1]GWA_Scores!$B:$B, 0)), "Missing")</f>
        <v>0.18285205464299528</v>
      </c>
      <c r="S2" s="14">
        <f>IFERROR(INDEX([1]GWA_Scores!$D:$D, MATCH(S$1, [1]GWA_Scores!$B:$B, 0)), "Missing")</f>
        <v>0.23956498767171452</v>
      </c>
      <c r="T2" s="14">
        <f>IFERROR(INDEX([1]GWA_Scores!$D:$D, MATCH(T$1, [1]GWA_Scores!$B:$B, 0)), "Missing")</f>
        <v>0.14422214777723819</v>
      </c>
      <c r="U2" s="14">
        <f>IFERROR(INDEX([1]GWA_Scores!$D:$D, MATCH(U$1, [1]GWA_Scores!$B:$B, 0)), "Missing")</f>
        <v>0.2370142768411346</v>
      </c>
      <c r="V2" s="14">
        <f>IFERROR(INDEX([1]GWA_Scores!$D:$D, MATCH(V$1, [1]GWA_Scores!$B:$B, 0)), "Missing")</f>
        <v>0.26596568602847104</v>
      </c>
      <c r="W2" s="14">
        <f>IFERROR(INDEX([1]GWA_Scores!$D:$D, MATCH(W$1, [1]GWA_Scores!$B:$B, 0)), "Missing")</f>
        <v>0.54337393872277595</v>
      </c>
      <c r="X2" s="14">
        <f>IFERROR(INDEX([1]GWA_Scores!$D:$D, MATCH(X$1, [1]GWA_Scores!$B:$B, 0)), "Missing")</f>
        <v>0.373455417160933</v>
      </c>
      <c r="Y2" s="14">
        <f>IFERROR(INDEX([1]GWA_Scores!$D:$D, MATCH(Y$1, [1]GWA_Scores!$B:$B, 0)), "Missing")</f>
        <v>0.44483901515151447</v>
      </c>
      <c r="Z2" s="14">
        <f>IFERROR(INDEX([1]GWA_Scores!$D:$D, MATCH(Z$1, [1]GWA_Scores!$B:$B, 0)), "Missing")</f>
        <v>0.52877242515518696</v>
      </c>
      <c r="AA2" s="14">
        <f>IFERROR(INDEX([1]GWA_Scores!$D:$D, MATCH(AA$1, [1]GWA_Scores!$B:$B, 0)), "Missing")</f>
        <v>0.26805200903446696</v>
      </c>
      <c r="AB2" s="14">
        <f>IFERROR(INDEX([1]GWA_Scores!$D:$D, MATCH(AB$1, [1]GWA_Scores!$B:$B, 0)), "Missing")</f>
        <v>0.64503259960110571</v>
      </c>
      <c r="AC2" s="14">
        <f>IFERROR(INDEX([1]GWA_Scores!$D:$D, MATCH(AC$1, [1]GWA_Scores!$B:$B, 0)), "Missing")</f>
        <v>0.30119557279778403</v>
      </c>
      <c r="AD2" s="14">
        <f>IFERROR(INDEX([1]GWA_Scores!$D:$D, MATCH(AD$1, [1]GWA_Scores!$B:$B, 0)), "Missing")</f>
        <v>0.33500000000000002</v>
      </c>
      <c r="AE2" s="14">
        <f>IFERROR(INDEX([1]GWA_Scores!$D:$D, MATCH(AE$1, [1]GWA_Scores!$B:$B, 0)), "Missing")</f>
        <v>0.30468464195502548</v>
      </c>
      <c r="AF2" s="14">
        <f>IFERROR(INDEX([1]GWA_Scores!$D:$D, MATCH(AF$1, [1]GWA_Scores!$B:$B, 0)), "Missing")</f>
        <v>0.20079198063695575</v>
      </c>
      <c r="AG2" s="14">
        <f>IFERROR(INDEX([1]GWA_Scores!$D:$D, MATCH(AG$1, [1]GWA_Scores!$B:$B, 0)), "Missing")</f>
        <v>0.34626863992238266</v>
      </c>
      <c r="AH2" s="14">
        <f>IFERROR(INDEX([1]GWA_Scores!$D:$D, MATCH(AH$1, [1]GWA_Scores!$B:$B, 0)), "Missing")</f>
        <v>0.16382978723404251</v>
      </c>
      <c r="AI2" s="14">
        <f>IFERROR(INDEX([1]GWA_Scores!$D:$D, MATCH(AI$1, [1]GWA_Scores!$B:$B, 0)), "Missing")</f>
        <v>0.13260556192470907</v>
      </c>
      <c r="AJ2" s="14">
        <f>IFERROR(INDEX([1]GWA_Scores!$D:$D, MATCH(AJ$1, [1]GWA_Scores!$B:$B, 0)), "Missing")</f>
        <v>0.19485430681515062</v>
      </c>
      <c r="AK2" s="14">
        <f>IFERROR(INDEX([1]GWA_Scores!$D:$D, MATCH(AK$1, [1]GWA_Scores!$B:$B, 0)), "Missing")</f>
        <v>0.21053686245928083</v>
      </c>
      <c r="AL2" s="14">
        <f>IFERROR(INDEX([1]GWA_Scores!$D:$D, MATCH(AL$1, [1]GWA_Scores!$B:$B, 0)), "Missing")</f>
        <v>0.20200000000000001</v>
      </c>
      <c r="AM2" s="14">
        <f>IFERROR(INDEX([1]GWA_Scores!$D:$D, MATCH(AM$1, [1]GWA_Scores!$B:$B, 0)), "Missing")</f>
        <v>0.12396694214876</v>
      </c>
      <c r="AN2" s="14">
        <f>IFERROR(INDEX([1]GWA_Scores!$D:$D, MATCH(AN$1, [1]GWA_Scores!$B:$B, 0)), "Missing")</f>
        <v>0.22760472765669926</v>
      </c>
      <c r="AO2" s="14">
        <f>IFERROR(INDEX([1]GWA_Scores!$D:$D, MATCH(AO$1, [1]GWA_Scores!$B:$B, 0)), "Missing")</f>
        <v>0.22278735294431865</v>
      </c>
      <c r="AP2" s="14">
        <f>IFERROR(INDEX([1]GWA_Scores!$D:$D, MATCH(AP$1, [1]GWA_Scores!$B:$B, 0)), "Missing")</f>
        <v>0.20200000000000001</v>
      </c>
      <c r="AQ2" s="14">
        <f>IFERROR(INDEX([1]GWA_Scores!$D:$D, MATCH(AQ$1, [1]GWA_Scores!$B:$B, 0)), "Missing")</f>
        <v>0.23869637132254101</v>
      </c>
    </row>
    <row r="3" spans="1:45" ht="13.5">
      <c r="A3" s="11" t="s">
        <v>10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spans="1:45" ht="13.5">
      <c r="A4" s="11" t="s">
        <v>11</v>
      </c>
      <c r="B4" s="12" t="s">
        <v>587</v>
      </c>
      <c r="C4" s="12"/>
      <c r="D4" s="12" t="s">
        <v>701</v>
      </c>
      <c r="E4" s="12"/>
      <c r="F4" s="12" t="s">
        <v>701</v>
      </c>
      <c r="G4" s="12" t="s">
        <v>701</v>
      </c>
      <c r="H4" s="12" t="s">
        <v>701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701</v>
      </c>
      <c r="T4" s="12"/>
      <c r="U4" s="12"/>
      <c r="V4" s="12"/>
      <c r="W4" s="12" t="s">
        <v>701</v>
      </c>
      <c r="X4" s="12"/>
      <c r="Y4" s="12"/>
      <c r="Z4" s="12"/>
      <c r="AA4" s="12"/>
      <c r="AB4" s="12"/>
      <c r="AC4" s="12" t="str">
        <f>IF(OR(NOT(ISBLANK(AF4)), NOT(ISBLANK(AG4)), NOT(ISBLANK(AQ4)), NOT(ISBLANK(AN4))), "x", "")</f>
        <v/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spans="1:45" ht="13.5">
      <c r="A5" s="11" t="s">
        <v>17</v>
      </c>
      <c r="B5" s="12" t="s">
        <v>588</v>
      </c>
      <c r="C5" s="12" t="s">
        <v>701</v>
      </c>
      <c r="D5" s="12" t="s">
        <v>701</v>
      </c>
      <c r="E5" s="12"/>
      <c r="F5" s="12"/>
      <c r="G5" s="12" t="s">
        <v>701</v>
      </c>
      <c r="H5" s="12"/>
      <c r="I5" s="12" t="s">
        <v>701</v>
      </c>
      <c r="J5" s="12"/>
      <c r="K5" s="12"/>
      <c r="L5" s="12"/>
      <c r="M5" s="12"/>
      <c r="N5" s="12"/>
      <c r="O5" s="12" t="s">
        <v>701</v>
      </c>
      <c r="P5" s="12"/>
      <c r="Q5" s="12"/>
      <c r="R5" s="12"/>
      <c r="S5" s="12"/>
      <c r="T5" s="12"/>
      <c r="U5" s="12"/>
      <c r="V5" s="12" t="s">
        <v>701</v>
      </c>
      <c r="W5" s="12" t="s">
        <v>701</v>
      </c>
      <c r="X5" s="12" t="s">
        <v>701</v>
      </c>
      <c r="Y5" s="12" t="s">
        <v>701</v>
      </c>
      <c r="Z5" s="12" t="s">
        <v>701</v>
      </c>
      <c r="AA5" s="12" t="s">
        <v>701</v>
      </c>
      <c r="AB5" s="12" t="s">
        <v>701</v>
      </c>
      <c r="AC5" s="12" t="str">
        <f>IF(OR(NOT(ISBLANK(AF5)), NOT(ISBLANK(AG5)), NOT(ISBLANK(AQ5)), NOT(ISBLANK(AN5))), "x", "")</f>
        <v/>
      </c>
      <c r="AD5" s="12" t="s">
        <v>701</v>
      </c>
      <c r="AE5" s="12"/>
      <c r="AF5" s="12"/>
      <c r="AG5" s="12"/>
      <c r="AH5" s="12"/>
      <c r="AI5" s="12"/>
      <c r="AJ5" s="12"/>
      <c r="AK5" s="12"/>
      <c r="AL5" s="12"/>
      <c r="AM5" s="12" t="s">
        <v>701</v>
      </c>
      <c r="AN5" s="12"/>
      <c r="AO5" s="12"/>
      <c r="AP5" s="12"/>
      <c r="AQ5" s="12"/>
    </row>
    <row r="6" spans="1:45" ht="13.5">
      <c r="A6" s="11" t="s">
        <v>19</v>
      </c>
      <c r="B6" s="12" t="s">
        <v>589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 t="str">
        <f>IF(OR(NOT(ISBLANK(AF6)), NOT(ISBLANK(AG6)), NOT(ISBLANK(AQ6)), NOT(ISBLANK(AN6))), "x", "")</f>
        <v/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5" ht="13.5">
      <c r="A7" s="11" t="s">
        <v>21</v>
      </c>
      <c r="B7" s="12" t="s">
        <v>590</v>
      </c>
      <c r="C7" s="12" t="s">
        <v>701</v>
      </c>
      <c r="D7" s="12"/>
      <c r="E7" s="12"/>
      <c r="F7" s="12" t="s">
        <v>701</v>
      </c>
      <c r="G7" s="12" t="s">
        <v>701</v>
      </c>
      <c r="H7" s="12"/>
      <c r="I7" s="12"/>
      <c r="J7" s="12"/>
      <c r="K7" s="12"/>
      <c r="L7" s="12"/>
      <c r="M7" s="12" t="s">
        <v>701</v>
      </c>
      <c r="N7" s="12"/>
      <c r="O7" s="12"/>
      <c r="P7" s="12"/>
      <c r="Q7" s="12" t="s">
        <v>701</v>
      </c>
      <c r="R7" s="12"/>
      <c r="S7" s="12" t="s">
        <v>701</v>
      </c>
      <c r="T7" s="12"/>
      <c r="U7" s="12" t="s">
        <v>701</v>
      </c>
      <c r="V7" s="12" t="s">
        <v>701</v>
      </c>
      <c r="W7" s="12" t="s">
        <v>701</v>
      </c>
      <c r="X7" s="12"/>
      <c r="Y7" s="12" t="s">
        <v>701</v>
      </c>
      <c r="Z7" s="12"/>
      <c r="AA7" s="12"/>
      <c r="AB7" s="12"/>
      <c r="AC7" s="12" t="str">
        <f>IF(OR(NOT(ISBLANK(AF7)), NOT(ISBLANK(AG7)), NOT(ISBLANK(AQ7)), NOT(ISBLANK(AN7))), "x", "")</f>
        <v/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spans="1:45" ht="13.5">
      <c r="A8" s="11" t="s">
        <v>23</v>
      </c>
      <c r="B8" s="12" t="s">
        <v>591</v>
      </c>
      <c r="C8" s="12" t="s">
        <v>701</v>
      </c>
      <c r="D8" s="12"/>
      <c r="E8" s="12"/>
      <c r="F8" s="12"/>
      <c r="G8" s="12"/>
      <c r="H8" s="12" t="s">
        <v>701</v>
      </c>
      <c r="I8" s="12"/>
      <c r="J8" s="12"/>
      <c r="K8" s="12"/>
      <c r="L8" s="12"/>
      <c r="M8" s="12"/>
      <c r="N8" s="12"/>
      <c r="O8" s="12" t="s">
        <v>701</v>
      </c>
      <c r="P8" s="12"/>
      <c r="Q8" s="12" t="s">
        <v>701</v>
      </c>
      <c r="R8" s="12"/>
      <c r="S8" s="12"/>
      <c r="T8" s="12"/>
      <c r="U8" s="12" t="s">
        <v>701</v>
      </c>
      <c r="V8" s="12"/>
      <c r="W8" s="12" t="s">
        <v>701</v>
      </c>
      <c r="X8" s="12"/>
      <c r="Y8" s="12"/>
      <c r="Z8" s="12"/>
      <c r="AA8" s="12"/>
      <c r="AB8" s="12"/>
      <c r="AC8" s="12" t="str">
        <f>IF(OR(NOT(ISBLANK(AF8)), NOT(ISBLANK(AG8)), NOT(ISBLANK(AQ8)), NOT(ISBLANK(AN8))), "x", "")</f>
        <v/>
      </c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 spans="1:45" ht="13.5">
      <c r="A9" s="11" t="s">
        <v>24</v>
      </c>
      <c r="B9" s="12" t="s">
        <v>588</v>
      </c>
      <c r="C9" s="12" t="s">
        <v>701</v>
      </c>
      <c r="D9" s="12"/>
      <c r="E9" s="12"/>
      <c r="F9" s="12"/>
      <c r="G9" s="12" t="s">
        <v>701</v>
      </c>
      <c r="H9" s="12"/>
      <c r="I9" s="12" t="s">
        <v>701</v>
      </c>
      <c r="J9" s="12"/>
      <c r="K9" s="12"/>
      <c r="L9" s="12"/>
      <c r="M9" s="12"/>
      <c r="N9" s="12"/>
      <c r="O9" s="12" t="s">
        <v>701</v>
      </c>
      <c r="P9" s="12"/>
      <c r="Q9" s="12" t="s">
        <v>701</v>
      </c>
      <c r="R9" s="12"/>
      <c r="S9" s="12" t="s">
        <v>701</v>
      </c>
      <c r="T9" s="12" t="s">
        <v>701</v>
      </c>
      <c r="U9" s="12" t="s">
        <v>701</v>
      </c>
      <c r="V9" s="12" t="s">
        <v>701</v>
      </c>
      <c r="W9" s="12" t="s">
        <v>701</v>
      </c>
      <c r="X9" s="12"/>
      <c r="Y9" s="12"/>
      <c r="Z9" s="12"/>
      <c r="AA9" s="12"/>
      <c r="AB9" s="12"/>
      <c r="AC9" s="12" t="str">
        <f>IF(OR(NOT(ISBLANK(AF9)), NOT(ISBLANK(AG9)), NOT(ISBLANK(AQ9)), NOT(ISBLANK(AN9))), "x", "")</f>
        <v/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5" ht="13.5">
      <c r="A10" s="11" t="s">
        <v>25</v>
      </c>
      <c r="B10" s="12" t="s">
        <v>590</v>
      </c>
      <c r="C10" s="12" t="s">
        <v>701</v>
      </c>
      <c r="D10" s="12"/>
      <c r="E10" s="12"/>
      <c r="F10" s="12"/>
      <c r="G10" s="12" t="s">
        <v>701</v>
      </c>
      <c r="H10" s="12"/>
      <c r="I10" s="12"/>
      <c r="J10" s="12"/>
      <c r="K10" s="12"/>
      <c r="L10" s="12"/>
      <c r="M10" s="12"/>
      <c r="N10" s="12"/>
      <c r="O10" s="12" t="s">
        <v>701</v>
      </c>
      <c r="P10" s="12"/>
      <c r="Q10" s="12" t="s">
        <v>701</v>
      </c>
      <c r="R10" s="12"/>
      <c r="S10" s="12" t="s">
        <v>701</v>
      </c>
      <c r="T10" s="12"/>
      <c r="U10" s="12"/>
      <c r="V10" s="12"/>
      <c r="W10" s="12" t="s">
        <v>701</v>
      </c>
      <c r="X10" s="12"/>
      <c r="Y10" s="12"/>
      <c r="Z10" s="12"/>
      <c r="AA10" s="12" t="s">
        <v>701</v>
      </c>
      <c r="AB10" s="12" t="s">
        <v>701</v>
      </c>
      <c r="AC10" s="12" t="str" cm="1">
        <f t="array" ref="AC10">IF(OR(NOT(ISBLANK(AG1x)), NOT(ISBLANK(AH1x)), NOT(ISBLANK(AR1x)), NOT(ISBLANK(AO1x))), "x", "")</f>
        <v>x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 t="s">
        <v>701</v>
      </c>
      <c r="AN10" s="12"/>
      <c r="AO10" s="12"/>
      <c r="AP10" s="12"/>
      <c r="AQ10" s="12"/>
    </row>
    <row r="11" spans="1:45" ht="13.5">
      <c r="A11" s="11" t="s">
        <v>26</v>
      </c>
      <c r="B11" s="12" t="s">
        <v>592</v>
      </c>
      <c r="C11" s="12" t="s">
        <v>701</v>
      </c>
      <c r="D11" s="12" t="s">
        <v>701</v>
      </c>
      <c r="E11" s="12"/>
      <c r="F11" s="12" t="s">
        <v>701</v>
      </c>
      <c r="G11" s="12" t="s">
        <v>701</v>
      </c>
      <c r="H11" s="12" t="s">
        <v>701</v>
      </c>
      <c r="I11" s="12"/>
      <c r="J11" s="12" t="s">
        <v>701</v>
      </c>
      <c r="K11" s="12"/>
      <c r="L11" s="12"/>
      <c r="M11" s="12"/>
      <c r="N11" s="12"/>
      <c r="O11" s="12" t="s">
        <v>701</v>
      </c>
      <c r="P11" s="12" t="s">
        <v>701</v>
      </c>
      <c r="Q11" s="12" t="s">
        <v>701</v>
      </c>
      <c r="R11" s="12"/>
      <c r="S11" s="12" t="s">
        <v>701</v>
      </c>
      <c r="T11" s="12"/>
      <c r="U11" s="12"/>
      <c r="V11" s="12" t="s">
        <v>701</v>
      </c>
      <c r="W11" s="12" t="s">
        <v>701</v>
      </c>
      <c r="X11" s="12"/>
      <c r="Y11" s="12"/>
      <c r="Z11" s="12"/>
      <c r="AA11" s="12" t="s">
        <v>701</v>
      </c>
      <c r="AB11" s="12" t="s">
        <v>701</v>
      </c>
      <c r="AC11" s="12" t="str">
        <f>IF(OR(NOT(ISBLANK(AF11)), NOT(ISBLANK(AG11)), NOT(ISBLANK(AQ11)), NOT(ISBLANK(AN11))), "x", "")</f>
        <v>x</v>
      </c>
      <c r="AD11" s="12" t="s">
        <v>701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 t="s">
        <v>701</v>
      </c>
      <c r="AO11" s="12" t="s">
        <v>701</v>
      </c>
      <c r="AP11" s="12"/>
      <c r="AQ11" s="12" t="s">
        <v>701</v>
      </c>
    </row>
    <row r="12" spans="1:45" ht="13.5">
      <c r="A12" s="11" t="s">
        <v>29</v>
      </c>
      <c r="B12" s="12" t="s">
        <v>593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 t="str">
        <f>IF(OR(NOT(ISBLANK(AF12)), NOT(ISBLANK(AG12)), NOT(ISBLANK(AQ12)), NOT(ISBLANK(AN12))), "x", "")</f>
        <v/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5" ht="13.5">
      <c r="A13" s="11" t="s">
        <v>30</v>
      </c>
      <c r="B13" s="12" t="s">
        <v>594</v>
      </c>
      <c r="C13" s="12" t="s">
        <v>701</v>
      </c>
      <c r="D13" s="12"/>
      <c r="E13" s="12"/>
      <c r="F13" s="12" t="s">
        <v>701</v>
      </c>
      <c r="G13" s="12" t="s">
        <v>701</v>
      </c>
      <c r="H13" s="12" t="s">
        <v>701</v>
      </c>
      <c r="I13" s="12" t="s">
        <v>701</v>
      </c>
      <c r="J13" s="12" t="s">
        <v>701</v>
      </c>
      <c r="K13" s="12"/>
      <c r="L13" s="12"/>
      <c r="M13" s="12"/>
      <c r="N13" s="12"/>
      <c r="O13" s="12"/>
      <c r="P13" s="12"/>
      <c r="Q13" s="12" t="s">
        <v>701</v>
      </c>
      <c r="R13" s="12"/>
      <c r="S13" s="12"/>
      <c r="T13" s="12"/>
      <c r="U13" s="12"/>
      <c r="V13" s="12" t="s">
        <v>701</v>
      </c>
      <c r="W13" s="12" t="s">
        <v>701</v>
      </c>
      <c r="X13" s="12"/>
      <c r="Y13" s="12"/>
      <c r="Z13" s="12" t="s">
        <v>701</v>
      </c>
      <c r="AA13" s="12" t="s">
        <v>701</v>
      </c>
      <c r="AB13" s="12" t="s">
        <v>701</v>
      </c>
      <c r="AC13" s="12" t="str">
        <f>IF(OR(NOT(ISBLANK(AF13)), NOT(ISBLANK(AG13)), NOT(ISBLANK(AQ13)), NOT(ISBLANK(AN13))), "x", "")</f>
        <v>x</v>
      </c>
      <c r="AD13" s="12" t="s">
        <v>701</v>
      </c>
      <c r="AE13" s="12"/>
      <c r="AF13" s="12"/>
      <c r="AG13" s="12" t="s">
        <v>701</v>
      </c>
      <c r="AH13" s="12"/>
      <c r="AI13" s="12"/>
      <c r="AJ13" s="12"/>
      <c r="AK13" s="12"/>
      <c r="AL13" s="12"/>
      <c r="AM13" s="12" t="s">
        <v>701</v>
      </c>
      <c r="AN13" s="12"/>
      <c r="AO13" s="12" t="s">
        <v>701</v>
      </c>
      <c r="AP13" s="12" t="s">
        <v>701</v>
      </c>
      <c r="AQ13" s="12"/>
    </row>
    <row r="14" spans="1:45" ht="13.5">
      <c r="A14" s="11" t="s">
        <v>31</v>
      </c>
      <c r="B14" s="12" t="s">
        <v>594</v>
      </c>
      <c r="C14" s="12" t="s">
        <v>701</v>
      </c>
      <c r="D14" s="12"/>
      <c r="E14" s="12"/>
      <c r="F14" s="12" t="s">
        <v>701</v>
      </c>
      <c r="G14" s="12" t="s">
        <v>701</v>
      </c>
      <c r="H14" s="12" t="s">
        <v>701</v>
      </c>
      <c r="I14" s="12" t="s">
        <v>701</v>
      </c>
      <c r="J14" s="12" t="s">
        <v>701</v>
      </c>
      <c r="K14" s="12"/>
      <c r="L14" s="12"/>
      <c r="M14" s="12"/>
      <c r="N14" s="12"/>
      <c r="O14" s="12"/>
      <c r="P14" s="12"/>
      <c r="Q14" s="12" t="s">
        <v>701</v>
      </c>
      <c r="R14" s="12"/>
      <c r="S14" s="12"/>
      <c r="T14" s="12"/>
      <c r="U14" s="12"/>
      <c r="V14" s="12" t="s">
        <v>701</v>
      </c>
      <c r="W14" s="12" t="s">
        <v>701</v>
      </c>
      <c r="X14" s="12"/>
      <c r="Y14" s="12"/>
      <c r="Z14" s="12" t="s">
        <v>701</v>
      </c>
      <c r="AA14" s="12" t="s">
        <v>701</v>
      </c>
      <c r="AB14" s="12" t="s">
        <v>701</v>
      </c>
      <c r="AC14" s="12" t="str">
        <f>IF(OR(NOT(ISBLANK(AF14)), NOT(ISBLANK(AG14)), NOT(ISBLANK(AQ14)), NOT(ISBLANK(AN14))), "x", "")</f>
        <v>x</v>
      </c>
      <c r="AD14" s="12" t="s">
        <v>701</v>
      </c>
      <c r="AE14" s="12"/>
      <c r="AF14" s="12"/>
      <c r="AG14" s="12" t="s">
        <v>701</v>
      </c>
      <c r="AH14" s="12"/>
      <c r="AI14" s="12"/>
      <c r="AJ14" s="12"/>
      <c r="AK14" s="12"/>
      <c r="AL14" s="12"/>
      <c r="AM14" s="12" t="s">
        <v>701</v>
      </c>
      <c r="AN14" s="12"/>
      <c r="AO14" s="12" t="s">
        <v>701</v>
      </c>
      <c r="AP14" s="12" t="s">
        <v>701</v>
      </c>
      <c r="AQ14" s="12"/>
    </row>
    <row r="15" spans="1:45" ht="13.5">
      <c r="A15" s="11" t="s">
        <v>32</v>
      </c>
      <c r="B15" s="12" t="s">
        <v>592</v>
      </c>
      <c r="C15" s="12" t="s">
        <v>701</v>
      </c>
      <c r="D15" s="12" t="s">
        <v>701</v>
      </c>
      <c r="E15" s="12"/>
      <c r="F15" s="12" t="s">
        <v>701</v>
      </c>
      <c r="G15" s="12" t="s">
        <v>701</v>
      </c>
      <c r="H15" s="12" t="s">
        <v>701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 t="s">
        <v>701</v>
      </c>
      <c r="T15" s="12"/>
      <c r="U15" s="12" t="s">
        <v>701</v>
      </c>
      <c r="V15" s="12"/>
      <c r="W15" s="12"/>
      <c r="X15" s="12"/>
      <c r="Y15" s="12"/>
      <c r="Z15" s="12"/>
      <c r="AA15" s="12"/>
      <c r="AB15" s="12"/>
      <c r="AC15" s="12" t="str">
        <f>IF(OR(NOT(ISBLANK(AF15)), NOT(ISBLANK(AG15)), NOT(ISBLANK(AQ15)), NOT(ISBLANK(AN15))), "x", "")</f>
        <v>x</v>
      </c>
      <c r="AD15" s="12" t="s">
        <v>701</v>
      </c>
      <c r="AE15" s="12"/>
      <c r="AF15" s="12"/>
      <c r="AG15" s="12" t="s">
        <v>701</v>
      </c>
      <c r="AH15" s="12"/>
      <c r="AI15" s="12"/>
      <c r="AJ15" s="12"/>
      <c r="AK15" s="12"/>
      <c r="AL15" s="12"/>
      <c r="AM15" s="12" t="s">
        <v>701</v>
      </c>
      <c r="AN15" s="12"/>
      <c r="AO15" s="12" t="s">
        <v>701</v>
      </c>
      <c r="AP15" s="12" t="s">
        <v>701</v>
      </c>
      <c r="AQ15" s="12" t="s">
        <v>701</v>
      </c>
    </row>
    <row r="16" spans="1:45" ht="13.5">
      <c r="A16" s="11" t="s">
        <v>33</v>
      </c>
      <c r="B16" s="12" t="s">
        <v>595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 t="str">
        <f>IF(OR(NOT(ISBLANK(AF16)), NOT(ISBLANK(AG16)), NOT(ISBLANK(AQ16)), NOT(ISBLANK(AN16))), "x", "")</f>
        <v/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3.5">
      <c r="A17" s="11" t="s">
        <v>34</v>
      </c>
      <c r="B17" s="12" t="s">
        <v>595</v>
      </c>
      <c r="C17" s="12" t="s">
        <v>701</v>
      </c>
      <c r="D17" s="12"/>
      <c r="E17" s="12"/>
      <c r="F17" s="12"/>
      <c r="G17" s="12" t="s">
        <v>701</v>
      </c>
      <c r="H17" s="12"/>
      <c r="I17" s="12"/>
      <c r="J17" s="12" t="s">
        <v>701</v>
      </c>
      <c r="K17" s="12"/>
      <c r="L17" s="12"/>
      <c r="M17" s="12"/>
      <c r="N17" s="12"/>
      <c r="O17" s="12" t="s">
        <v>701</v>
      </c>
      <c r="P17" s="12"/>
      <c r="Q17" s="12"/>
      <c r="R17" s="12"/>
      <c r="S17" s="12" t="s">
        <v>701</v>
      </c>
      <c r="T17" s="12" t="s">
        <v>701</v>
      </c>
      <c r="U17" s="12" t="s">
        <v>701</v>
      </c>
      <c r="V17" s="12" t="s">
        <v>701</v>
      </c>
      <c r="W17" s="12"/>
      <c r="X17" s="12"/>
      <c r="Y17" s="12"/>
      <c r="Z17" s="12"/>
      <c r="AA17" s="12"/>
      <c r="AB17" s="12"/>
      <c r="AC17" s="12" t="str">
        <f>IF(OR(NOT(ISBLANK(AF17)), NOT(ISBLANK(AG17)), NOT(ISBLANK(AQ17)), NOT(ISBLANK(AN17))), "x", "")</f>
        <v/>
      </c>
      <c r="AD17" s="12"/>
      <c r="AE17" s="12"/>
      <c r="AF17" s="12"/>
      <c r="AG17" s="12"/>
      <c r="AH17" s="12"/>
      <c r="AI17" s="12" t="s">
        <v>701</v>
      </c>
      <c r="AJ17" s="12"/>
      <c r="AK17" s="12"/>
      <c r="AL17" s="12"/>
      <c r="AM17" s="12"/>
      <c r="AN17" s="12"/>
      <c r="AO17" s="12"/>
      <c r="AP17" s="12"/>
      <c r="AQ17" s="12"/>
    </row>
    <row r="18" spans="1:43" ht="13.5">
      <c r="A18" s="11" t="s">
        <v>35</v>
      </c>
      <c r="B18" s="12" t="s">
        <v>595</v>
      </c>
      <c r="C18" s="12" t="s">
        <v>701</v>
      </c>
      <c r="D18" s="12"/>
      <c r="E18" s="12"/>
      <c r="F18" s="12"/>
      <c r="G18" s="12" t="s">
        <v>701</v>
      </c>
      <c r="H18" s="12"/>
      <c r="I18" s="12"/>
      <c r="J18" s="12" t="s">
        <v>701</v>
      </c>
      <c r="K18" s="12"/>
      <c r="L18" s="12"/>
      <c r="M18" s="12"/>
      <c r="N18" s="12"/>
      <c r="O18" s="12" t="s">
        <v>701</v>
      </c>
      <c r="P18" s="12"/>
      <c r="Q18" s="12"/>
      <c r="R18" s="12"/>
      <c r="S18" s="12" t="s">
        <v>701</v>
      </c>
      <c r="T18" s="12" t="s">
        <v>701</v>
      </c>
      <c r="U18" s="12" t="s">
        <v>701</v>
      </c>
      <c r="V18" s="12" t="s">
        <v>701</v>
      </c>
      <c r="W18" s="12"/>
      <c r="X18" s="12"/>
      <c r="Y18" s="12"/>
      <c r="Z18" s="12"/>
      <c r="AA18" s="12"/>
      <c r="AB18" s="12"/>
      <c r="AC18" s="12" t="str">
        <f>IF(OR(NOT(ISBLANK(AF18)), NOT(ISBLANK(AG18)), NOT(ISBLANK(AQ18)), NOT(ISBLANK(AN18))), "x", "")</f>
        <v/>
      </c>
      <c r="AD18" s="12"/>
      <c r="AE18" s="12"/>
      <c r="AF18" s="12"/>
      <c r="AG18" s="12"/>
      <c r="AH18" s="12"/>
      <c r="AI18" s="12" t="s">
        <v>701</v>
      </c>
      <c r="AJ18" s="12"/>
      <c r="AK18" s="12"/>
      <c r="AL18" s="12"/>
      <c r="AM18" s="12"/>
      <c r="AN18" s="12"/>
      <c r="AO18" s="12"/>
      <c r="AP18" s="12"/>
      <c r="AQ18" s="12"/>
    </row>
    <row r="19" spans="1:43" ht="13.5">
      <c r="A19" s="11" t="s">
        <v>36</v>
      </c>
      <c r="B19" s="12" t="s">
        <v>595</v>
      </c>
      <c r="C19" s="12" t="s">
        <v>701</v>
      </c>
      <c r="D19" s="12"/>
      <c r="E19" s="12"/>
      <c r="F19" s="12"/>
      <c r="G19" s="12" t="s">
        <v>701</v>
      </c>
      <c r="H19" s="12"/>
      <c r="I19" s="12"/>
      <c r="J19" s="12" t="s">
        <v>701</v>
      </c>
      <c r="K19" s="12"/>
      <c r="L19" s="12"/>
      <c r="M19" s="12"/>
      <c r="N19" s="12"/>
      <c r="O19" s="12" t="s">
        <v>701</v>
      </c>
      <c r="P19" s="12"/>
      <c r="Q19" s="12"/>
      <c r="R19" s="12"/>
      <c r="S19" s="12" t="s">
        <v>701</v>
      </c>
      <c r="T19" s="12" t="s">
        <v>701</v>
      </c>
      <c r="U19" s="12" t="s">
        <v>701</v>
      </c>
      <c r="V19" s="12" t="s">
        <v>701</v>
      </c>
      <c r="W19" s="12"/>
      <c r="X19" s="12"/>
      <c r="Y19" s="12"/>
      <c r="Z19" s="12"/>
      <c r="AA19" s="12"/>
      <c r="AB19" s="12"/>
      <c r="AC19" s="12" t="str">
        <f>IF(OR(NOT(ISBLANK(AF19)), NOT(ISBLANK(AG19)), NOT(ISBLANK(AQ19)), NOT(ISBLANK(AN19))), "x", "")</f>
        <v/>
      </c>
      <c r="AD19" s="12"/>
      <c r="AE19" s="12"/>
      <c r="AF19" s="12"/>
      <c r="AG19" s="12"/>
      <c r="AH19" s="12"/>
      <c r="AI19" s="12" t="s">
        <v>701</v>
      </c>
      <c r="AJ19" s="12"/>
      <c r="AK19" s="12"/>
      <c r="AL19" s="12"/>
      <c r="AM19" s="12"/>
      <c r="AN19" s="12"/>
      <c r="AO19" s="12"/>
      <c r="AP19" s="12"/>
      <c r="AQ19" s="12"/>
    </row>
    <row r="20" spans="1:43" ht="13.5">
      <c r="A20" s="11" t="s">
        <v>37</v>
      </c>
      <c r="B20" s="12" t="s">
        <v>595</v>
      </c>
      <c r="C20" s="12" t="s">
        <v>701</v>
      </c>
      <c r="D20" s="12"/>
      <c r="E20" s="12"/>
      <c r="F20" s="12"/>
      <c r="G20" s="12" t="s">
        <v>701</v>
      </c>
      <c r="H20" s="12"/>
      <c r="I20" s="12"/>
      <c r="J20" s="12" t="s">
        <v>701</v>
      </c>
      <c r="K20" s="12"/>
      <c r="L20" s="12"/>
      <c r="M20" s="12"/>
      <c r="N20" s="12"/>
      <c r="O20" s="12" t="s">
        <v>701</v>
      </c>
      <c r="P20" s="12"/>
      <c r="Q20" s="12"/>
      <c r="R20" s="12"/>
      <c r="S20" s="12" t="s">
        <v>701</v>
      </c>
      <c r="T20" s="12"/>
      <c r="U20" s="12" t="s">
        <v>701</v>
      </c>
      <c r="V20" s="12" t="s">
        <v>701</v>
      </c>
      <c r="W20" s="12"/>
      <c r="X20" s="12"/>
      <c r="Y20" s="12"/>
      <c r="Z20" s="12"/>
      <c r="AA20" s="12"/>
      <c r="AB20" s="12"/>
      <c r="AC20" s="12" t="str" cm="1">
        <f t="array" ref="AC20">IF(OR(NOT(ISBLANK(AG2x)), NOT(ISBLANK(AH2x)), NOT(ISBLANK(AR2x)), NOT(ISBLANK(AO2x))), "x", "")</f>
        <v>x</v>
      </c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3.5">
      <c r="A21" s="11" t="s">
        <v>38</v>
      </c>
      <c r="B21" s="12" t="s">
        <v>595</v>
      </c>
      <c r="C21" s="12" t="s">
        <v>701</v>
      </c>
      <c r="D21" s="12"/>
      <c r="E21" s="12"/>
      <c r="F21" s="12"/>
      <c r="G21" s="12" t="s">
        <v>701</v>
      </c>
      <c r="H21" s="12"/>
      <c r="I21" s="12"/>
      <c r="J21" s="12" t="s">
        <v>701</v>
      </c>
      <c r="K21" s="12"/>
      <c r="L21" s="12"/>
      <c r="M21" s="12"/>
      <c r="N21" s="12"/>
      <c r="O21" s="12" t="s">
        <v>701</v>
      </c>
      <c r="P21" s="12"/>
      <c r="Q21" s="12"/>
      <c r="R21" s="12"/>
      <c r="S21" s="12" t="s">
        <v>701</v>
      </c>
      <c r="T21" s="12"/>
      <c r="U21" s="12" t="s">
        <v>701</v>
      </c>
      <c r="V21" s="12" t="s">
        <v>701</v>
      </c>
      <c r="W21" s="12"/>
      <c r="X21" s="12"/>
      <c r="Y21" s="12"/>
      <c r="Z21" s="12"/>
      <c r="AA21" s="12"/>
      <c r="AB21" s="12"/>
      <c r="AC21" s="12" t="str">
        <f>IF(OR(NOT(ISBLANK(AF21)), NOT(ISBLANK(AG21)), NOT(ISBLANK(AQ21)), NOT(ISBLANK(AN21))), "x", "")</f>
        <v/>
      </c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3.5">
      <c r="A22" s="11" t="s">
        <v>39</v>
      </c>
      <c r="B22" s="12" t="s">
        <v>590</v>
      </c>
      <c r="C22" s="12" t="s">
        <v>701</v>
      </c>
      <c r="D22" s="12" t="s">
        <v>701</v>
      </c>
      <c r="E22" s="12"/>
      <c r="F22" s="12" t="s">
        <v>701</v>
      </c>
      <c r="G22" s="12" t="s">
        <v>701</v>
      </c>
      <c r="H22" s="12"/>
      <c r="I22" s="12" t="s">
        <v>701</v>
      </c>
      <c r="J22" s="12"/>
      <c r="K22" s="12"/>
      <c r="L22" s="12"/>
      <c r="M22" s="12"/>
      <c r="N22" s="12"/>
      <c r="O22" s="12" t="s">
        <v>701</v>
      </c>
      <c r="P22" s="12" t="s">
        <v>701</v>
      </c>
      <c r="Q22" s="12"/>
      <c r="R22" s="12"/>
      <c r="S22" s="12" t="s">
        <v>701</v>
      </c>
      <c r="T22" s="12"/>
      <c r="U22" s="12" t="s">
        <v>701</v>
      </c>
      <c r="V22" s="12" t="s">
        <v>701</v>
      </c>
      <c r="W22" s="12" t="s">
        <v>701</v>
      </c>
      <c r="X22" s="12"/>
      <c r="Y22" s="12"/>
      <c r="Z22" s="12" t="s">
        <v>701</v>
      </c>
      <c r="AA22" s="12"/>
      <c r="AB22" s="12"/>
      <c r="AC22" s="12" t="str">
        <f>IF(OR(NOT(ISBLANK(AF22)), NOT(ISBLANK(AG22)), NOT(ISBLANK(AQ22)), NOT(ISBLANK(AN22))), "x", "")</f>
        <v>x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 t="s">
        <v>701</v>
      </c>
      <c r="AN22" s="12" t="s">
        <v>701</v>
      </c>
      <c r="AO22" s="12" t="s">
        <v>701</v>
      </c>
      <c r="AP22" s="12"/>
      <c r="AQ22" s="12"/>
    </row>
    <row r="23" spans="1:43" ht="13.5">
      <c r="A23" s="11" t="s">
        <v>40</v>
      </c>
      <c r="B23" s="12" t="s">
        <v>590</v>
      </c>
      <c r="C23" s="12" t="s">
        <v>701</v>
      </c>
      <c r="D23" s="12"/>
      <c r="E23" s="12"/>
      <c r="F23" s="12"/>
      <c r="G23" s="12" t="s">
        <v>701</v>
      </c>
      <c r="H23" s="12"/>
      <c r="I23" s="12"/>
      <c r="J23" s="12"/>
      <c r="K23" s="12"/>
      <c r="L23" s="12"/>
      <c r="M23" s="12"/>
      <c r="N23" s="12"/>
      <c r="O23" s="12" t="s">
        <v>701</v>
      </c>
      <c r="P23" s="12" t="s">
        <v>701</v>
      </c>
      <c r="Q23" s="12" t="s">
        <v>701</v>
      </c>
      <c r="R23" s="12"/>
      <c r="S23" s="12" t="s">
        <v>701</v>
      </c>
      <c r="T23" s="12"/>
      <c r="U23" s="12"/>
      <c r="V23" s="12" t="s">
        <v>701</v>
      </c>
      <c r="W23" s="12"/>
      <c r="X23" s="12"/>
      <c r="Y23" s="12"/>
      <c r="Z23" s="12"/>
      <c r="AA23" s="12"/>
      <c r="AB23" s="12"/>
      <c r="AC23" s="12" t="str">
        <f>IF(OR(NOT(ISBLANK(AF23)), NOT(ISBLANK(AG23)), NOT(ISBLANK(AQ23)), NOT(ISBLANK(AN23))), "x", "")</f>
        <v/>
      </c>
      <c r="AD23" s="12"/>
      <c r="AE23" s="12"/>
      <c r="AF23" s="12"/>
      <c r="AG23" s="12"/>
      <c r="AH23" s="12"/>
      <c r="AI23" s="12"/>
      <c r="AJ23" s="12"/>
      <c r="AK23" s="12"/>
      <c r="AL23" s="12"/>
      <c r="AM23" s="12" t="s">
        <v>701</v>
      </c>
      <c r="AN23" s="12"/>
      <c r="AO23" s="12"/>
      <c r="AP23" s="12"/>
      <c r="AQ23" s="12"/>
    </row>
    <row r="24" spans="1:43" ht="13.5">
      <c r="A24" s="11" t="s">
        <v>41</v>
      </c>
      <c r="B24" s="12" t="s">
        <v>596</v>
      </c>
      <c r="C24" s="12" t="s">
        <v>701</v>
      </c>
      <c r="D24" s="12" t="s">
        <v>701</v>
      </c>
      <c r="E24" s="12"/>
      <c r="F24" s="12"/>
      <c r="G24" s="12" t="s">
        <v>701</v>
      </c>
      <c r="H24" s="12"/>
      <c r="I24" s="12" t="s">
        <v>701</v>
      </c>
      <c r="J24" s="12"/>
      <c r="K24" s="12"/>
      <c r="L24" s="12"/>
      <c r="M24" s="12"/>
      <c r="N24" s="12"/>
      <c r="O24" s="12" t="s">
        <v>701</v>
      </c>
      <c r="P24" s="12" t="s">
        <v>701</v>
      </c>
      <c r="Q24" s="12"/>
      <c r="R24" s="12"/>
      <c r="S24" s="12" t="s">
        <v>701</v>
      </c>
      <c r="T24" s="12"/>
      <c r="U24" s="12" t="s">
        <v>701</v>
      </c>
      <c r="V24" s="12" t="s">
        <v>701</v>
      </c>
      <c r="W24" s="12"/>
      <c r="X24" s="12"/>
      <c r="Y24" s="12"/>
      <c r="Z24" s="12" t="s">
        <v>701</v>
      </c>
      <c r="AA24" s="12"/>
      <c r="AB24" s="12"/>
      <c r="AC24" s="12" t="str">
        <f>IF(OR(NOT(ISBLANK(AF24)), NOT(ISBLANK(AG24)), NOT(ISBLANK(AQ24)), NOT(ISBLANK(AN24))), "x", "")</f>
        <v>x</v>
      </c>
      <c r="AD24" s="12"/>
      <c r="AE24" s="12"/>
      <c r="AF24" s="12"/>
      <c r="AG24" s="12"/>
      <c r="AH24" s="12"/>
      <c r="AI24" s="12"/>
      <c r="AJ24" s="12"/>
      <c r="AK24" s="12"/>
      <c r="AL24" s="12"/>
      <c r="AM24" s="12" t="s">
        <v>701</v>
      </c>
      <c r="AN24" s="12" t="s">
        <v>701</v>
      </c>
      <c r="AO24" s="12" t="s">
        <v>701</v>
      </c>
      <c r="AP24" s="12"/>
      <c r="AQ24" s="12"/>
    </row>
    <row r="25" spans="1:43" ht="13.5">
      <c r="A25" s="11" t="s">
        <v>42</v>
      </c>
      <c r="B25" s="12" t="s">
        <v>596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 t="str">
        <f>IF(OR(NOT(ISBLANK(AF25)), NOT(ISBLANK(AG25)), NOT(ISBLANK(AQ25)), NOT(ISBLANK(AN25))), "x", "")</f>
        <v/>
      </c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3.5">
      <c r="A26" s="11" t="s">
        <v>43</v>
      </c>
      <c r="B26" s="12" t="s">
        <v>596</v>
      </c>
      <c r="C26" s="12" t="s">
        <v>701</v>
      </c>
      <c r="D26" s="12" t="s">
        <v>701</v>
      </c>
      <c r="E26" s="12"/>
      <c r="F26" s="12"/>
      <c r="G26" s="12" t="s">
        <v>701</v>
      </c>
      <c r="H26" s="12" t="s">
        <v>701</v>
      </c>
      <c r="I26" s="12" t="s">
        <v>701</v>
      </c>
      <c r="J26" s="12"/>
      <c r="K26" s="12"/>
      <c r="L26" s="12"/>
      <c r="M26" s="12"/>
      <c r="N26" s="12"/>
      <c r="O26" s="12" t="s">
        <v>701</v>
      </c>
      <c r="P26" s="12" t="s">
        <v>701</v>
      </c>
      <c r="Q26" s="12"/>
      <c r="R26" s="12"/>
      <c r="S26" s="12" t="s">
        <v>701</v>
      </c>
      <c r="T26" s="12"/>
      <c r="U26" s="12" t="s">
        <v>701</v>
      </c>
      <c r="V26" s="12" t="s">
        <v>701</v>
      </c>
      <c r="W26" s="12"/>
      <c r="X26" s="12"/>
      <c r="Y26" s="12"/>
      <c r="Z26" s="12"/>
      <c r="AA26" s="12"/>
      <c r="AB26" s="12"/>
      <c r="AC26" s="12" t="str">
        <f>IF(OR(NOT(ISBLANK(AF26)), NOT(ISBLANK(AG26)), NOT(ISBLANK(AQ26)), NOT(ISBLANK(AN26))), "x", "")</f>
        <v>x</v>
      </c>
      <c r="AD26" s="12"/>
      <c r="AE26" s="12"/>
      <c r="AF26" s="12"/>
      <c r="AG26" s="12"/>
      <c r="AH26" s="12"/>
      <c r="AI26" s="12"/>
      <c r="AJ26" s="12"/>
      <c r="AK26" s="12"/>
      <c r="AL26" s="12"/>
      <c r="AM26" s="12" t="s">
        <v>701</v>
      </c>
      <c r="AN26" s="12" t="s">
        <v>701</v>
      </c>
      <c r="AO26" s="12" t="s">
        <v>701</v>
      </c>
      <c r="AP26" s="12"/>
      <c r="AQ26" s="12"/>
    </row>
    <row r="27" spans="1:43" ht="13.5">
      <c r="A27" s="11" t="s">
        <v>44</v>
      </c>
      <c r="B27" s="12" t="s">
        <v>596</v>
      </c>
      <c r="C27" s="12" t="s">
        <v>701</v>
      </c>
      <c r="D27" s="12" t="s">
        <v>701</v>
      </c>
      <c r="E27" s="12"/>
      <c r="F27" s="12"/>
      <c r="G27" s="12" t="s">
        <v>701</v>
      </c>
      <c r="H27" s="12" t="s">
        <v>701</v>
      </c>
      <c r="I27" s="12" t="s">
        <v>701</v>
      </c>
      <c r="J27" s="12"/>
      <c r="K27" s="12"/>
      <c r="L27" s="12"/>
      <c r="M27" s="12"/>
      <c r="N27" s="12"/>
      <c r="O27" s="12" t="s">
        <v>701</v>
      </c>
      <c r="P27" s="12" t="s">
        <v>701</v>
      </c>
      <c r="Q27" s="12"/>
      <c r="R27" s="12"/>
      <c r="S27" s="12" t="s">
        <v>701</v>
      </c>
      <c r="T27" s="12"/>
      <c r="U27" s="12" t="s">
        <v>701</v>
      </c>
      <c r="V27" s="12" t="s">
        <v>701</v>
      </c>
      <c r="W27" s="12"/>
      <c r="X27" s="12"/>
      <c r="Y27" s="12"/>
      <c r="Z27" s="12"/>
      <c r="AA27" s="12"/>
      <c r="AB27" s="12"/>
      <c r="AC27" s="12" t="str">
        <f>IF(OR(NOT(ISBLANK(AF27)), NOT(ISBLANK(AG27)), NOT(ISBLANK(AQ27)), NOT(ISBLANK(AN27))), "x", "")</f>
        <v>x</v>
      </c>
      <c r="AD27" s="12"/>
      <c r="AE27" s="12"/>
      <c r="AF27" s="12"/>
      <c r="AG27" s="12"/>
      <c r="AH27" s="12"/>
      <c r="AI27" s="12"/>
      <c r="AJ27" s="12"/>
      <c r="AK27" s="12"/>
      <c r="AL27" s="12"/>
      <c r="AM27" s="12" t="s">
        <v>701</v>
      </c>
      <c r="AN27" s="12" t="s">
        <v>701</v>
      </c>
      <c r="AO27" s="12" t="s">
        <v>701</v>
      </c>
      <c r="AP27" s="12"/>
      <c r="AQ27" s="12"/>
    </row>
    <row r="28" spans="1:43" ht="13.5">
      <c r="A28" s="11" t="s">
        <v>45</v>
      </c>
      <c r="B28" s="12" t="s">
        <v>596</v>
      </c>
      <c r="C28" s="12" t="s">
        <v>701</v>
      </c>
      <c r="D28" s="12" t="s">
        <v>701</v>
      </c>
      <c r="E28" s="12"/>
      <c r="F28" s="12"/>
      <c r="G28" s="12" t="s">
        <v>701</v>
      </c>
      <c r="H28" s="12" t="s">
        <v>701</v>
      </c>
      <c r="I28" s="12" t="s">
        <v>701</v>
      </c>
      <c r="J28" s="12"/>
      <c r="K28" s="12"/>
      <c r="L28" s="12"/>
      <c r="M28" s="12"/>
      <c r="N28" s="12"/>
      <c r="O28" s="12" t="s">
        <v>701</v>
      </c>
      <c r="P28" s="12" t="s">
        <v>701</v>
      </c>
      <c r="Q28" s="12"/>
      <c r="R28" s="12"/>
      <c r="S28" s="12" t="s">
        <v>701</v>
      </c>
      <c r="T28" s="12"/>
      <c r="U28" s="12" t="s">
        <v>701</v>
      </c>
      <c r="V28" s="12" t="s">
        <v>701</v>
      </c>
      <c r="W28" s="12"/>
      <c r="X28" s="12"/>
      <c r="Y28" s="12"/>
      <c r="Z28" s="12"/>
      <c r="AA28" s="12"/>
      <c r="AB28" s="12"/>
      <c r="AC28" s="12" t="str">
        <f>IF(OR(NOT(ISBLANK(AF28)), NOT(ISBLANK(AG28)), NOT(ISBLANK(AQ28)), NOT(ISBLANK(AN28))), "x", "")</f>
        <v>x</v>
      </c>
      <c r="AD28" s="12"/>
      <c r="AE28" s="12"/>
      <c r="AF28" s="12"/>
      <c r="AG28" s="12"/>
      <c r="AH28" s="12"/>
      <c r="AI28" s="12"/>
      <c r="AJ28" s="12"/>
      <c r="AK28" s="12"/>
      <c r="AL28" s="12"/>
      <c r="AM28" s="12" t="s">
        <v>701</v>
      </c>
      <c r="AN28" s="12" t="s">
        <v>701</v>
      </c>
      <c r="AO28" s="12"/>
      <c r="AP28" s="12"/>
      <c r="AQ28" s="12"/>
    </row>
    <row r="29" spans="1:43" ht="13.5">
      <c r="A29" s="11" t="s">
        <v>47</v>
      </c>
      <c r="B29" s="12" t="s">
        <v>596</v>
      </c>
      <c r="C29" s="12" t="s">
        <v>701</v>
      </c>
      <c r="D29" s="12" t="s">
        <v>701</v>
      </c>
      <c r="E29" s="12"/>
      <c r="F29" s="12"/>
      <c r="G29" s="12" t="s">
        <v>701</v>
      </c>
      <c r="H29" s="12" t="s">
        <v>701</v>
      </c>
      <c r="I29" s="12" t="s">
        <v>701</v>
      </c>
      <c r="J29" s="12"/>
      <c r="K29" s="12"/>
      <c r="L29" s="12"/>
      <c r="M29" s="12"/>
      <c r="N29" s="12"/>
      <c r="O29" s="12" t="s">
        <v>701</v>
      </c>
      <c r="P29" s="12" t="s">
        <v>701</v>
      </c>
      <c r="Q29" s="12"/>
      <c r="R29" s="12"/>
      <c r="S29" s="12" t="s">
        <v>701</v>
      </c>
      <c r="T29" s="12"/>
      <c r="U29" s="12" t="s">
        <v>701</v>
      </c>
      <c r="V29" s="12" t="s">
        <v>701</v>
      </c>
      <c r="W29" s="12"/>
      <c r="X29" s="12" t="s">
        <v>701</v>
      </c>
      <c r="Y29" s="12"/>
      <c r="Z29" s="12"/>
      <c r="AA29" s="12"/>
      <c r="AB29" s="12"/>
      <c r="AC29" s="12" t="str">
        <f>IF(OR(NOT(ISBLANK(AF29)), NOT(ISBLANK(AG29)), NOT(ISBLANK(AQ29)), NOT(ISBLANK(AN29))), "x", "")</f>
        <v>x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 t="s">
        <v>701</v>
      </c>
      <c r="AN29" s="12" t="s">
        <v>701</v>
      </c>
      <c r="AO29" s="12" t="s">
        <v>701</v>
      </c>
      <c r="AP29" s="12"/>
      <c r="AQ29" s="12"/>
    </row>
    <row r="30" spans="1:43" ht="13.5">
      <c r="A30" s="11" t="s">
        <v>48</v>
      </c>
      <c r="B30" s="12" t="s">
        <v>596</v>
      </c>
      <c r="C30" s="12" t="s">
        <v>701</v>
      </c>
      <c r="D30" s="12" t="s">
        <v>701</v>
      </c>
      <c r="E30" s="12"/>
      <c r="F30" s="12"/>
      <c r="G30" s="12" t="s">
        <v>701</v>
      </c>
      <c r="H30" s="12" t="s">
        <v>701</v>
      </c>
      <c r="I30" s="12" t="s">
        <v>701</v>
      </c>
      <c r="J30" s="12"/>
      <c r="K30" s="12"/>
      <c r="L30" s="12"/>
      <c r="M30" s="12"/>
      <c r="N30" s="12"/>
      <c r="O30" s="12" t="s">
        <v>701</v>
      </c>
      <c r="P30" s="12" t="s">
        <v>701</v>
      </c>
      <c r="Q30" s="12"/>
      <c r="R30" s="12"/>
      <c r="S30" s="12" t="s">
        <v>701</v>
      </c>
      <c r="T30" s="12"/>
      <c r="U30" s="12" t="s">
        <v>701</v>
      </c>
      <c r="V30" s="12" t="s">
        <v>701</v>
      </c>
      <c r="W30" s="12"/>
      <c r="X30" s="12"/>
      <c r="Y30" s="12"/>
      <c r="Z30" s="12"/>
      <c r="AA30" s="12"/>
      <c r="AB30" s="12"/>
      <c r="AC30" s="12" t="str" cm="1">
        <f t="array" ref="AC30">IF(OR(NOT(ISBLANK(AG3x)), NOT(ISBLANK(AH3x)), NOT(ISBLANK(AR3x)), NOT(ISBLANK(AO3x))), "x", "")</f>
        <v>x</v>
      </c>
      <c r="AD30" s="12"/>
      <c r="AE30" s="12"/>
      <c r="AF30" s="12"/>
      <c r="AG30" s="12"/>
      <c r="AH30" s="12"/>
      <c r="AI30" s="12"/>
      <c r="AJ30" s="12"/>
      <c r="AK30" s="12"/>
      <c r="AL30" s="12"/>
      <c r="AM30" s="12" t="s">
        <v>701</v>
      </c>
      <c r="AN30" s="12" t="s">
        <v>701</v>
      </c>
      <c r="AO30" s="12" t="s">
        <v>701</v>
      </c>
      <c r="AP30" s="12"/>
      <c r="AQ30" s="12"/>
    </row>
    <row r="31" spans="1:43" ht="13.5">
      <c r="A31" s="11" t="s">
        <v>49</v>
      </c>
      <c r="B31" s="12" t="s">
        <v>596</v>
      </c>
      <c r="C31" s="12" t="s">
        <v>701</v>
      </c>
      <c r="D31" s="12"/>
      <c r="E31" s="12"/>
      <c r="F31" s="12" t="s">
        <v>701</v>
      </c>
      <c r="G31" s="12" t="s">
        <v>701</v>
      </c>
      <c r="H31" s="12" t="s">
        <v>701</v>
      </c>
      <c r="I31" s="12" t="s">
        <v>701</v>
      </c>
      <c r="J31" s="12"/>
      <c r="K31" s="12"/>
      <c r="L31" s="12"/>
      <c r="M31" s="12"/>
      <c r="N31" s="12"/>
      <c r="O31" s="12" t="s">
        <v>701</v>
      </c>
      <c r="P31" s="12"/>
      <c r="Q31" s="12"/>
      <c r="R31" s="12"/>
      <c r="S31" s="12" t="s">
        <v>701</v>
      </c>
      <c r="T31" s="12"/>
      <c r="U31" s="12" t="s">
        <v>701</v>
      </c>
      <c r="V31" s="12" t="s">
        <v>701</v>
      </c>
      <c r="W31" s="12"/>
      <c r="X31" s="12"/>
      <c r="Y31" s="12" t="s">
        <v>701</v>
      </c>
      <c r="Z31" s="12" t="s">
        <v>701</v>
      </c>
      <c r="AA31" s="12"/>
      <c r="AB31" s="12"/>
      <c r="AC31" s="12" t="str">
        <f>IF(OR(NOT(ISBLANK(AF31)), NOT(ISBLANK(AG31)), NOT(ISBLANK(AQ31)), NOT(ISBLANK(AN31))), "x", "")</f>
        <v/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13.5">
      <c r="A32" s="11" t="s">
        <v>50</v>
      </c>
      <c r="B32" s="12" t="s">
        <v>597</v>
      </c>
      <c r="C32" s="12" t="s">
        <v>701</v>
      </c>
      <c r="D32" s="12" t="s">
        <v>701</v>
      </c>
      <c r="E32" s="12"/>
      <c r="F32" s="12" t="s">
        <v>701</v>
      </c>
      <c r="G32" s="12" t="s">
        <v>701</v>
      </c>
      <c r="H32" s="12" t="s">
        <v>701</v>
      </c>
      <c r="I32" s="12"/>
      <c r="J32" s="12"/>
      <c r="K32" s="12"/>
      <c r="L32" s="12"/>
      <c r="M32" s="12"/>
      <c r="N32" s="12"/>
      <c r="O32" s="12" t="s">
        <v>701</v>
      </c>
      <c r="P32" s="12"/>
      <c r="Q32" s="12" t="s">
        <v>701</v>
      </c>
      <c r="R32" s="12"/>
      <c r="S32" s="12" t="s">
        <v>701</v>
      </c>
      <c r="T32" s="12"/>
      <c r="U32" s="12" t="s">
        <v>701</v>
      </c>
      <c r="V32" s="12" t="s">
        <v>701</v>
      </c>
      <c r="W32" s="12"/>
      <c r="X32" s="12"/>
      <c r="Y32" s="12" t="s">
        <v>701</v>
      </c>
      <c r="Z32" s="12"/>
      <c r="AA32" s="12" t="s">
        <v>701</v>
      </c>
      <c r="AB32" s="12"/>
      <c r="AC32" s="12" t="str">
        <f>IF(OR(NOT(ISBLANK(AF32)), NOT(ISBLANK(AG32)), NOT(ISBLANK(AQ32)), NOT(ISBLANK(AN32))), "x", "")</f>
        <v/>
      </c>
      <c r="AD32" s="12" t="s">
        <v>701</v>
      </c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 spans="1:43" ht="13.5">
      <c r="A33" s="11" t="s">
        <v>51</v>
      </c>
      <c r="B33" s="12" t="s">
        <v>596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 t="str">
        <f>IF(OR(NOT(ISBLANK(AF33)), NOT(ISBLANK(AG33)), NOT(ISBLANK(AQ33)), NOT(ISBLANK(AN33))), "x", "")</f>
        <v/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 spans="1:43" ht="13.5">
      <c r="A34" s="11" t="s">
        <v>52</v>
      </c>
      <c r="B34" s="12" t="s">
        <v>590</v>
      </c>
      <c r="C34" s="12" t="s">
        <v>701</v>
      </c>
      <c r="D34" s="12"/>
      <c r="E34" s="12"/>
      <c r="F34" s="12"/>
      <c r="G34" s="12" t="s">
        <v>701</v>
      </c>
      <c r="H34" s="12"/>
      <c r="I34" s="12" t="s">
        <v>701</v>
      </c>
      <c r="J34" s="12"/>
      <c r="K34" s="12"/>
      <c r="L34" s="12"/>
      <c r="M34" s="12"/>
      <c r="N34" s="12"/>
      <c r="O34" s="12" t="s">
        <v>701</v>
      </c>
      <c r="P34" s="12" t="s">
        <v>701</v>
      </c>
      <c r="Q34" s="12"/>
      <c r="R34" s="12"/>
      <c r="S34" s="12" t="s">
        <v>701</v>
      </c>
      <c r="T34" s="12"/>
      <c r="U34" s="12" t="s">
        <v>701</v>
      </c>
      <c r="V34" s="12"/>
      <c r="W34" s="12"/>
      <c r="X34" s="12"/>
      <c r="Y34" s="12"/>
      <c r="Z34" s="12" t="s">
        <v>701</v>
      </c>
      <c r="AA34" s="12"/>
      <c r="AB34" s="12"/>
      <c r="AC34" s="12" t="str">
        <f>IF(OR(NOT(ISBLANK(AF34)), NOT(ISBLANK(AG34)), NOT(ISBLANK(AQ34)), NOT(ISBLANK(AN34))), "x", "")</f>
        <v>x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 t="s">
        <v>701</v>
      </c>
      <c r="AN34" s="12" t="s">
        <v>701</v>
      </c>
      <c r="AO34" s="12" t="s">
        <v>701</v>
      </c>
      <c r="AP34" s="12"/>
      <c r="AQ34" s="12"/>
    </row>
    <row r="35" spans="1:43" ht="13.5">
      <c r="A35" s="11" t="s">
        <v>53</v>
      </c>
      <c r="B35" s="12" t="s">
        <v>591</v>
      </c>
      <c r="C35" s="12"/>
      <c r="D35" s="12"/>
      <c r="E35" s="12" t="s">
        <v>701</v>
      </c>
      <c r="F35" s="12" t="s">
        <v>701</v>
      </c>
      <c r="G35" s="12" t="s">
        <v>701</v>
      </c>
      <c r="H35" s="12" t="s">
        <v>701</v>
      </c>
      <c r="I35" s="12" t="s">
        <v>701</v>
      </c>
      <c r="J35" s="12"/>
      <c r="K35" s="12"/>
      <c r="L35" s="12"/>
      <c r="M35" s="12"/>
      <c r="N35" s="12"/>
      <c r="O35" s="12" t="s">
        <v>701</v>
      </c>
      <c r="P35" s="12"/>
      <c r="Q35" s="12" t="s">
        <v>701</v>
      </c>
      <c r="R35" s="12"/>
      <c r="S35" s="12" t="s">
        <v>701</v>
      </c>
      <c r="T35" s="12"/>
      <c r="U35" s="12" t="s">
        <v>701</v>
      </c>
      <c r="V35" s="12" t="s">
        <v>701</v>
      </c>
      <c r="W35" s="12"/>
      <c r="X35" s="12"/>
      <c r="Y35" s="12" t="s">
        <v>701</v>
      </c>
      <c r="Z35" s="12" t="s">
        <v>701</v>
      </c>
      <c r="AA35" s="12" t="s">
        <v>701</v>
      </c>
      <c r="AB35" s="12"/>
      <c r="AC35" s="12" t="str">
        <f>IF(OR(NOT(ISBLANK(AF35)), NOT(ISBLANK(AG35)), NOT(ISBLANK(AQ35)), NOT(ISBLANK(AN35))), "x", "")</f>
        <v/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 t="s">
        <v>701</v>
      </c>
      <c r="AN35" s="12"/>
      <c r="AO35" s="12"/>
      <c r="AP35" s="12" t="s">
        <v>701</v>
      </c>
      <c r="AQ35" s="12"/>
    </row>
    <row r="36" spans="1:43" ht="13.5">
      <c r="A36" s="11" t="s">
        <v>54</v>
      </c>
      <c r="B36" s="12" t="s">
        <v>590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 t="str">
        <f>IF(OR(NOT(ISBLANK(AF36)), NOT(ISBLANK(AG36)), NOT(ISBLANK(AQ36)), NOT(ISBLANK(AN36))), "x", "")</f>
        <v/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spans="1:43" ht="13.5">
      <c r="A37" s="11" t="s">
        <v>55</v>
      </c>
      <c r="B37" s="12" t="s">
        <v>590</v>
      </c>
      <c r="C37" s="12" t="s">
        <v>701</v>
      </c>
      <c r="D37" s="12"/>
      <c r="E37" s="12"/>
      <c r="F37" s="12" t="s">
        <v>701</v>
      </c>
      <c r="G37" s="12" t="s">
        <v>701</v>
      </c>
      <c r="H37" s="12"/>
      <c r="I37" s="12"/>
      <c r="J37" s="12"/>
      <c r="K37" s="12"/>
      <c r="L37" s="12"/>
      <c r="M37" s="12"/>
      <c r="N37" s="12"/>
      <c r="O37" s="12" t="s">
        <v>701</v>
      </c>
      <c r="P37" s="12"/>
      <c r="Q37" s="12" t="s">
        <v>701</v>
      </c>
      <c r="R37" s="12"/>
      <c r="S37" s="12" t="s">
        <v>701</v>
      </c>
      <c r="T37" s="12" t="s">
        <v>701</v>
      </c>
      <c r="U37" s="12" t="s">
        <v>701</v>
      </c>
      <c r="V37" s="12" t="s">
        <v>701</v>
      </c>
      <c r="W37" s="12" t="s">
        <v>701</v>
      </c>
      <c r="X37" s="12"/>
      <c r="Y37" s="12"/>
      <c r="Z37" s="12"/>
      <c r="AA37" s="12"/>
      <c r="AB37" s="12"/>
      <c r="AC37" s="12" t="str">
        <f>IF(OR(NOT(ISBLANK(AF37)), NOT(ISBLANK(AG37)), NOT(ISBLANK(AQ37)), NOT(ISBLANK(AN37))), "x", "")</f>
        <v/>
      </c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 spans="1:43" ht="13.5">
      <c r="A38" s="11" t="s">
        <v>56</v>
      </c>
      <c r="B38" s="12" t="s">
        <v>588</v>
      </c>
      <c r="C38" s="12" t="s">
        <v>701</v>
      </c>
      <c r="D38" s="12"/>
      <c r="E38" s="12"/>
      <c r="F38" s="12" t="s">
        <v>701</v>
      </c>
      <c r="G38" s="12" t="s">
        <v>701</v>
      </c>
      <c r="H38" s="12"/>
      <c r="I38" s="12" t="s">
        <v>701</v>
      </c>
      <c r="J38" s="12"/>
      <c r="K38" s="12"/>
      <c r="L38" s="12"/>
      <c r="M38" s="12"/>
      <c r="N38" s="12"/>
      <c r="O38" s="12" t="s">
        <v>701</v>
      </c>
      <c r="P38" s="12"/>
      <c r="Q38" s="12" t="s">
        <v>701</v>
      </c>
      <c r="R38" s="12"/>
      <c r="S38" s="12" t="s">
        <v>701</v>
      </c>
      <c r="T38" s="12" t="s">
        <v>701</v>
      </c>
      <c r="U38" s="12" t="s">
        <v>701</v>
      </c>
      <c r="V38" s="12" t="s">
        <v>701</v>
      </c>
      <c r="W38" s="12"/>
      <c r="X38" s="12"/>
      <c r="Y38" s="12"/>
      <c r="Z38" s="12"/>
      <c r="AA38" s="12"/>
      <c r="AB38" s="12"/>
      <c r="AC38" s="12" t="str">
        <f>IF(OR(NOT(ISBLANK(AF38)), NOT(ISBLANK(AG38)), NOT(ISBLANK(AQ38)), NOT(ISBLANK(AN38))), "x", "")</f>
        <v/>
      </c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 spans="1:43" ht="13.5">
      <c r="A39" s="11" t="s">
        <v>57</v>
      </c>
      <c r="B39" s="12" t="s">
        <v>597</v>
      </c>
      <c r="C39" s="12"/>
      <c r="D39" s="12"/>
      <c r="E39" s="12" t="s">
        <v>701</v>
      </c>
      <c r="F39" s="12" t="s">
        <v>701</v>
      </c>
      <c r="G39" s="12" t="s">
        <v>701</v>
      </c>
      <c r="H39" s="12" t="s">
        <v>701</v>
      </c>
      <c r="I39" s="12" t="s">
        <v>701</v>
      </c>
      <c r="J39" s="12"/>
      <c r="K39" s="12"/>
      <c r="L39" s="12"/>
      <c r="M39" s="12"/>
      <c r="N39" s="12"/>
      <c r="O39" s="12" t="s">
        <v>701</v>
      </c>
      <c r="P39" s="12"/>
      <c r="Q39" s="12" t="s">
        <v>701</v>
      </c>
      <c r="R39" s="12"/>
      <c r="S39" s="12" t="s">
        <v>701</v>
      </c>
      <c r="T39" s="12" t="s">
        <v>701</v>
      </c>
      <c r="U39" s="12" t="s">
        <v>701</v>
      </c>
      <c r="V39" s="12" t="s">
        <v>701</v>
      </c>
      <c r="W39" s="12"/>
      <c r="X39" s="12"/>
      <c r="Y39" s="12" t="s">
        <v>701</v>
      </c>
      <c r="Z39" s="12"/>
      <c r="AA39" s="12" t="s">
        <v>701</v>
      </c>
      <c r="AB39" s="12" t="s">
        <v>701</v>
      </c>
      <c r="AC39" s="12" t="str">
        <f>IF(OR(NOT(ISBLANK(AF39)), NOT(ISBLANK(AG39)), NOT(ISBLANK(AQ39)), NOT(ISBLANK(AN39))), "x", "")</f>
        <v/>
      </c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spans="1:43" ht="13.5">
      <c r="A40" s="11" t="s">
        <v>58</v>
      </c>
      <c r="B40" s="12" t="s">
        <v>598</v>
      </c>
      <c r="C40" s="12"/>
      <c r="D40" s="12"/>
      <c r="E40" s="12"/>
      <c r="F40" s="12" t="s">
        <v>701</v>
      </c>
      <c r="G40" s="12" t="s">
        <v>701</v>
      </c>
      <c r="H40" s="12"/>
      <c r="I40" s="12" t="s">
        <v>701</v>
      </c>
      <c r="J40" s="12" t="s">
        <v>701</v>
      </c>
      <c r="K40" s="12"/>
      <c r="L40" s="12"/>
      <c r="M40" s="12"/>
      <c r="N40" s="12"/>
      <c r="O40" s="12" t="s">
        <v>701</v>
      </c>
      <c r="P40" s="12"/>
      <c r="Q40" s="12" t="s">
        <v>701</v>
      </c>
      <c r="R40" s="12"/>
      <c r="S40" s="12" t="s">
        <v>701</v>
      </c>
      <c r="T40" s="12"/>
      <c r="U40" s="12" t="s">
        <v>701</v>
      </c>
      <c r="V40" s="12" t="s">
        <v>701</v>
      </c>
      <c r="W40" s="12"/>
      <c r="X40" s="12"/>
      <c r="Y40" s="12"/>
      <c r="Z40" s="12" t="s">
        <v>701</v>
      </c>
      <c r="AA40" s="12" t="s">
        <v>701</v>
      </c>
      <c r="AB40" s="12" t="s">
        <v>701</v>
      </c>
      <c r="AC40" s="12" t="str" cm="1">
        <f t="array" ref="AC40">IF(OR(NOT(ISBLANK(AG4x)), NOT(ISBLANK(AH4x)), NOT(ISBLANK(AR4x)), NOT(ISBLANK(AO4x))), "x", "")</f>
        <v>x</v>
      </c>
      <c r="AD40" s="12"/>
      <c r="AE40" s="12"/>
      <c r="AF40" s="12"/>
      <c r="AG40" s="12" t="s">
        <v>701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spans="1:43" ht="13.5">
      <c r="A41" s="11" t="s">
        <v>59</v>
      </c>
      <c r="B41" s="12" t="s">
        <v>599</v>
      </c>
      <c r="C41" s="12"/>
      <c r="D41" s="12"/>
      <c r="E41" s="12" t="s">
        <v>701</v>
      </c>
      <c r="F41" s="12" t="s">
        <v>701</v>
      </c>
      <c r="G41" s="12" t="s">
        <v>701</v>
      </c>
      <c r="H41" s="12"/>
      <c r="I41" s="12" t="s">
        <v>701</v>
      </c>
      <c r="J41" s="12"/>
      <c r="K41" s="12"/>
      <c r="L41" s="12"/>
      <c r="M41" s="12" t="s">
        <v>701</v>
      </c>
      <c r="N41" s="12"/>
      <c r="O41" s="12" t="s">
        <v>701</v>
      </c>
      <c r="P41" s="12"/>
      <c r="Q41" s="12" t="s">
        <v>701</v>
      </c>
      <c r="R41" s="12"/>
      <c r="S41" s="12"/>
      <c r="T41" s="12"/>
      <c r="U41" s="12"/>
      <c r="V41" s="12"/>
      <c r="W41" s="12" t="s">
        <v>701</v>
      </c>
      <c r="X41" s="12"/>
      <c r="Y41" s="12" t="s">
        <v>701</v>
      </c>
      <c r="Z41" s="12" t="s">
        <v>701</v>
      </c>
      <c r="AA41" s="12"/>
      <c r="AB41" s="12"/>
      <c r="AC41" s="12" t="str">
        <f>IF(OR(NOT(ISBLANK(AF41)), NOT(ISBLANK(AG41)), NOT(ISBLANK(AQ41)), NOT(ISBLANK(AN41))), "x", "")</f>
        <v/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 spans="1:43" ht="13.5">
      <c r="A42" s="11" t="s">
        <v>60</v>
      </c>
      <c r="B42" s="12" t="s">
        <v>606</v>
      </c>
      <c r="C42" s="12"/>
      <c r="D42" s="12"/>
      <c r="E42" s="12" t="s">
        <v>701</v>
      </c>
      <c r="F42" s="12"/>
      <c r="G42" s="12"/>
      <c r="H42" s="12" t="s">
        <v>701</v>
      </c>
      <c r="I42" s="12"/>
      <c r="J42" s="12" t="s">
        <v>701</v>
      </c>
      <c r="K42" s="12"/>
      <c r="L42" s="12"/>
      <c r="M42" s="12" t="s">
        <v>701</v>
      </c>
      <c r="N42" s="12"/>
      <c r="O42" s="12"/>
      <c r="P42" s="12"/>
      <c r="Q42" s="12" t="s">
        <v>701</v>
      </c>
      <c r="R42" s="12"/>
      <c r="S42" s="12"/>
      <c r="T42" s="12"/>
      <c r="U42" s="12"/>
      <c r="V42" s="12"/>
      <c r="W42" s="12"/>
      <c r="X42" s="12"/>
      <c r="Y42" s="12"/>
      <c r="Z42" s="12"/>
      <c r="AA42" s="12" t="s">
        <v>701</v>
      </c>
      <c r="AB42" s="12" t="s">
        <v>701</v>
      </c>
      <c r="AC42" s="12" t="str">
        <f>IF(OR(NOT(ISBLANK(AF42)), NOT(ISBLANK(AG42)), NOT(ISBLANK(AQ42)), NOT(ISBLANK(AN42))), "x", "")</f>
        <v/>
      </c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</row>
    <row r="43" spans="1:43" ht="13.5">
      <c r="A43" s="11" t="s">
        <v>61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 t="str">
        <f>IF(OR(NOT(ISBLANK(AF43)), NOT(ISBLANK(AG43)), NOT(ISBLANK(AQ43)), NOT(ISBLANK(AN43))), "x", "")</f>
        <v/>
      </c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 spans="1:43" ht="13.5">
      <c r="A44" s="11" t="s">
        <v>62</v>
      </c>
      <c r="B44" s="12" t="s">
        <v>587</v>
      </c>
      <c r="C44" s="12"/>
      <c r="D44" s="12" t="s">
        <v>701</v>
      </c>
      <c r="E44" s="12"/>
      <c r="F44" s="12" t="s">
        <v>701</v>
      </c>
      <c r="G44" s="12" t="s">
        <v>701</v>
      </c>
      <c r="H44" s="12" t="s">
        <v>701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 t="s">
        <v>701</v>
      </c>
      <c r="T44" s="12"/>
      <c r="U44" s="12"/>
      <c r="V44" s="12"/>
      <c r="W44" s="12" t="s">
        <v>701</v>
      </c>
      <c r="X44" s="12"/>
      <c r="Y44" s="12"/>
      <c r="Z44" s="12"/>
      <c r="AA44" s="12"/>
      <c r="AB44" s="12"/>
      <c r="AC44" s="12" t="str">
        <f>IF(OR(NOT(ISBLANK(AF44)), NOT(ISBLANK(AG44)), NOT(ISBLANK(AQ44)), NOT(ISBLANK(AN44))), "x", "")</f>
        <v/>
      </c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</row>
    <row r="45" spans="1:43" ht="13.5">
      <c r="A45" s="11" t="s">
        <v>63</v>
      </c>
      <c r="B45" s="12" t="s">
        <v>588</v>
      </c>
      <c r="C45" s="12" t="s">
        <v>701</v>
      </c>
      <c r="D45" s="12" t="s">
        <v>701</v>
      </c>
      <c r="E45" s="12"/>
      <c r="F45" s="12"/>
      <c r="G45" s="12" t="s">
        <v>701</v>
      </c>
      <c r="H45" s="12"/>
      <c r="I45" s="12" t="s">
        <v>701</v>
      </c>
      <c r="J45" s="12"/>
      <c r="K45" s="12"/>
      <c r="L45" s="12"/>
      <c r="M45" s="12"/>
      <c r="N45" s="12"/>
      <c r="O45" s="12" t="s">
        <v>701</v>
      </c>
      <c r="P45" s="12"/>
      <c r="Q45" s="12"/>
      <c r="R45" s="12"/>
      <c r="S45" s="12"/>
      <c r="T45" s="12"/>
      <c r="U45" s="12"/>
      <c r="V45" s="12" t="s">
        <v>701</v>
      </c>
      <c r="W45" s="12" t="s">
        <v>701</v>
      </c>
      <c r="X45" s="12" t="s">
        <v>701</v>
      </c>
      <c r="Y45" s="12" t="s">
        <v>701</v>
      </c>
      <c r="Z45" s="12" t="s">
        <v>701</v>
      </c>
      <c r="AA45" s="12" t="s">
        <v>701</v>
      </c>
      <c r="AB45" s="12" t="s">
        <v>701</v>
      </c>
      <c r="AC45" s="12" t="str">
        <f>IF(OR(NOT(ISBLANK(AF45)), NOT(ISBLANK(AG45)), NOT(ISBLANK(AQ45)), NOT(ISBLANK(AN45))), "x", "")</f>
        <v/>
      </c>
      <c r="AD45" s="12" t="s">
        <v>701</v>
      </c>
      <c r="AE45" s="12"/>
      <c r="AF45" s="12"/>
      <c r="AG45" s="12"/>
      <c r="AH45" s="12"/>
      <c r="AI45" s="12"/>
      <c r="AJ45" s="12"/>
      <c r="AK45" s="12"/>
      <c r="AL45" s="12"/>
      <c r="AM45" s="12" t="s">
        <v>701</v>
      </c>
      <c r="AN45" s="12"/>
      <c r="AO45" s="12"/>
      <c r="AP45" s="12"/>
      <c r="AQ45" s="12"/>
    </row>
    <row r="46" spans="1:43" ht="13.5">
      <c r="A46" s="11" t="s">
        <v>64</v>
      </c>
      <c r="B46" s="12" t="s">
        <v>589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 t="str">
        <f>IF(OR(NOT(ISBLANK(AF46)), NOT(ISBLANK(AG46)), NOT(ISBLANK(AQ46)), NOT(ISBLANK(AN46))), "x", "")</f>
        <v/>
      </c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</row>
    <row r="47" spans="1:43" ht="13.5">
      <c r="A47" s="11" t="s">
        <v>65</v>
      </c>
      <c r="B47" s="12" t="s">
        <v>588</v>
      </c>
      <c r="C47" s="12" t="s">
        <v>701</v>
      </c>
      <c r="D47" s="12" t="s">
        <v>701</v>
      </c>
      <c r="E47" s="12"/>
      <c r="F47" s="12" t="s">
        <v>701</v>
      </c>
      <c r="G47" s="12" t="s">
        <v>701</v>
      </c>
      <c r="H47" s="12" t="s">
        <v>701</v>
      </c>
      <c r="I47" s="12"/>
      <c r="J47" s="12" t="s">
        <v>701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 t="s">
        <v>701</v>
      </c>
      <c r="W47" s="12"/>
      <c r="X47" s="12"/>
      <c r="Y47" s="12"/>
      <c r="Z47" s="12"/>
      <c r="AA47" s="12"/>
      <c r="AB47" s="12"/>
      <c r="AC47" s="12" t="str">
        <f>IF(OR(NOT(ISBLANK(AF47)), NOT(ISBLANK(AG47)), NOT(ISBLANK(AQ47)), NOT(ISBLANK(AN47))), "x", "")</f>
        <v/>
      </c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 spans="1:43" ht="13.5">
      <c r="A48" s="11" t="s">
        <v>66</v>
      </c>
      <c r="B48" s="12" t="s">
        <v>600</v>
      </c>
      <c r="C48" s="12" t="s">
        <v>701</v>
      </c>
      <c r="D48" s="12" t="s">
        <v>701</v>
      </c>
      <c r="E48" s="12"/>
      <c r="F48" s="12" t="s">
        <v>701</v>
      </c>
      <c r="G48" s="12" t="s">
        <v>701</v>
      </c>
      <c r="H48" s="12" t="s">
        <v>701</v>
      </c>
      <c r="I48" s="12"/>
      <c r="J48" s="12"/>
      <c r="K48" s="12"/>
      <c r="L48" s="12"/>
      <c r="M48" s="12"/>
      <c r="N48" s="12"/>
      <c r="O48" s="12"/>
      <c r="P48" s="12"/>
      <c r="Q48" s="12"/>
      <c r="R48" s="12" t="s">
        <v>701</v>
      </c>
      <c r="S48" s="12"/>
      <c r="T48" s="12"/>
      <c r="U48" s="12" t="s">
        <v>701</v>
      </c>
      <c r="V48" s="12" t="s">
        <v>701</v>
      </c>
      <c r="W48" s="12"/>
      <c r="X48" s="12"/>
      <c r="Y48" s="12"/>
      <c r="Z48" s="12"/>
      <c r="AA48" s="12"/>
      <c r="AB48" s="12"/>
      <c r="AC48" s="12" t="str">
        <f>IF(OR(NOT(ISBLANK(AF48)), NOT(ISBLANK(AG48)), NOT(ISBLANK(AQ48)), NOT(ISBLANK(AN48))), "x", "")</f>
        <v/>
      </c>
      <c r="AD48" s="12"/>
      <c r="AE48" s="12"/>
      <c r="AF48" s="12"/>
      <c r="AG48" s="12"/>
      <c r="AH48" s="12"/>
      <c r="AI48" s="12" t="s">
        <v>701</v>
      </c>
      <c r="AJ48" s="12"/>
      <c r="AK48" s="12"/>
      <c r="AL48" s="12"/>
      <c r="AM48" s="12"/>
      <c r="AN48" s="12"/>
      <c r="AO48" s="12"/>
      <c r="AP48" s="12"/>
      <c r="AQ48" s="12"/>
    </row>
    <row r="49" spans="1:43" ht="13.5">
      <c r="A49" s="11" t="s">
        <v>67</v>
      </c>
      <c r="B49" s="12" t="s">
        <v>594</v>
      </c>
      <c r="C49" s="12" t="s">
        <v>701</v>
      </c>
      <c r="D49" s="12" t="s">
        <v>701</v>
      </c>
      <c r="E49" s="12"/>
      <c r="F49" s="12"/>
      <c r="G49" s="12" t="s">
        <v>701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701</v>
      </c>
      <c r="V49" s="12"/>
      <c r="W49" s="12" t="s">
        <v>701</v>
      </c>
      <c r="X49" s="12"/>
      <c r="Y49" s="12"/>
      <c r="Z49" s="12"/>
      <c r="AA49" s="12"/>
      <c r="AB49" s="12"/>
      <c r="AC49" s="12" t="str">
        <f>IF(OR(NOT(ISBLANK(AF49)), NOT(ISBLANK(AG49)), NOT(ISBLANK(AQ49)), NOT(ISBLANK(AN49))), "x", "")</f>
        <v/>
      </c>
      <c r="AD49" s="12" t="s">
        <v>701</v>
      </c>
      <c r="AE49" s="12"/>
      <c r="AF49" s="12"/>
      <c r="AG49" s="12"/>
      <c r="AH49" s="12"/>
      <c r="AI49" s="12"/>
      <c r="AJ49" s="12"/>
      <c r="AK49" s="12"/>
      <c r="AL49" s="12"/>
      <c r="AM49" s="12" t="s">
        <v>701</v>
      </c>
      <c r="AN49" s="12"/>
      <c r="AO49" s="12" t="s">
        <v>701</v>
      </c>
      <c r="AP49" s="12" t="s">
        <v>701</v>
      </c>
      <c r="AQ49" s="12"/>
    </row>
    <row r="50" spans="1:43" ht="13.5">
      <c r="A50" s="11" t="s">
        <v>68</v>
      </c>
      <c r="B50" s="12" t="s">
        <v>588</v>
      </c>
      <c r="C50" s="12" t="s">
        <v>701</v>
      </c>
      <c r="D50" s="12" t="s">
        <v>701</v>
      </c>
      <c r="E50" s="12"/>
      <c r="F50" s="12"/>
      <c r="G50" s="12" t="s">
        <v>701</v>
      </c>
      <c r="H50" s="12"/>
      <c r="I50" s="12" t="s">
        <v>701</v>
      </c>
      <c r="J50" s="12"/>
      <c r="K50" s="12"/>
      <c r="L50" s="12"/>
      <c r="M50" s="12"/>
      <c r="N50" s="12"/>
      <c r="O50" s="12"/>
      <c r="P50" s="12"/>
      <c r="Q50" s="12" t="s">
        <v>701</v>
      </c>
      <c r="R50" s="12"/>
      <c r="S50" s="12"/>
      <c r="T50" s="12" t="s">
        <v>701</v>
      </c>
      <c r="U50" s="12" t="s">
        <v>701</v>
      </c>
      <c r="V50" s="12" t="s">
        <v>701</v>
      </c>
      <c r="W50" s="12" t="s">
        <v>701</v>
      </c>
      <c r="X50" s="12"/>
      <c r="Y50" s="12"/>
      <c r="Z50" s="12"/>
      <c r="AA50" s="12"/>
      <c r="AB50" s="12"/>
      <c r="AC50" s="12" t="str" cm="1">
        <f t="array" ref="AC50">IF(OR(NOT(ISBLANK(AG5x)), NOT(ISBLANK(AH5x)), NOT(ISBLANK(AR5x)), NOT(ISBLANK(AO5x))), "x", "")</f>
        <v>x</v>
      </c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</row>
    <row r="51" spans="1:43" ht="13.5">
      <c r="A51" s="11" t="s">
        <v>69</v>
      </c>
      <c r="B51" s="12" t="s">
        <v>589</v>
      </c>
      <c r="C51" s="12" t="s">
        <v>701</v>
      </c>
      <c r="D51" s="12"/>
      <c r="E51" s="12"/>
      <c r="F51" s="12" t="s">
        <v>701</v>
      </c>
      <c r="G51" s="12" t="s">
        <v>701</v>
      </c>
      <c r="H51" s="12" t="s">
        <v>701</v>
      </c>
      <c r="I51" s="12" t="s">
        <v>701</v>
      </c>
      <c r="J51" s="12" t="s">
        <v>701</v>
      </c>
      <c r="K51" s="12"/>
      <c r="L51" s="12"/>
      <c r="M51" s="12" t="s">
        <v>701</v>
      </c>
      <c r="N51" s="12"/>
      <c r="O51" s="12" t="s">
        <v>701</v>
      </c>
      <c r="P51" s="12"/>
      <c r="Q51" s="12" t="s">
        <v>701</v>
      </c>
      <c r="R51" s="12"/>
      <c r="S51" s="12" t="s">
        <v>701</v>
      </c>
      <c r="T51" s="12"/>
      <c r="U51" s="12" t="s">
        <v>701</v>
      </c>
      <c r="V51" s="12" t="s">
        <v>701</v>
      </c>
      <c r="W51" s="12"/>
      <c r="X51" s="12" t="s">
        <v>701</v>
      </c>
      <c r="Y51" s="12" t="s">
        <v>701</v>
      </c>
      <c r="Z51" s="12" t="s">
        <v>701</v>
      </c>
      <c r="AA51" s="12" t="s">
        <v>701</v>
      </c>
      <c r="AB51" s="12"/>
      <c r="AC51" s="12" t="str">
        <f>IF(OR(NOT(ISBLANK(AF51)), NOT(ISBLANK(AG51)), NOT(ISBLANK(AQ51)), NOT(ISBLANK(AN51))), "x", "")</f>
        <v/>
      </c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</row>
    <row r="52" spans="1:43" ht="13.5">
      <c r="A52" s="11" t="s">
        <v>70</v>
      </c>
      <c r="B52" s="12" t="s">
        <v>589</v>
      </c>
      <c r="C52" s="12"/>
      <c r="D52" s="12" t="s">
        <v>701</v>
      </c>
      <c r="E52" s="12"/>
      <c r="F52" s="12"/>
      <c r="G52" s="12" t="s">
        <v>701</v>
      </c>
      <c r="H52" s="12"/>
      <c r="I52" s="12" t="s">
        <v>701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 t="s">
        <v>701</v>
      </c>
      <c r="AA52" s="12" t="s">
        <v>701</v>
      </c>
      <c r="AB52" s="12"/>
      <c r="AC52" s="12" t="str">
        <f>IF(OR(NOT(ISBLANK(AF52)), NOT(ISBLANK(AG52)), NOT(ISBLANK(AQ52)), NOT(ISBLANK(AN52))), "x", "")</f>
        <v/>
      </c>
      <c r="AD52" s="12"/>
      <c r="AE52" s="12"/>
      <c r="AF52" s="12"/>
      <c r="AG52" s="12"/>
      <c r="AH52" s="12"/>
      <c r="AI52" s="12"/>
      <c r="AJ52" s="12"/>
      <c r="AK52" s="12"/>
      <c r="AL52" s="12"/>
      <c r="AM52" s="12" t="s">
        <v>701</v>
      </c>
      <c r="AN52" s="12"/>
      <c r="AO52" s="12"/>
      <c r="AP52" s="12"/>
      <c r="AQ52" s="12"/>
    </row>
    <row r="53" spans="1:43" ht="13.5">
      <c r="A53" s="11" t="s">
        <v>71</v>
      </c>
      <c r="B53" s="12" t="s">
        <v>600</v>
      </c>
      <c r="C53" s="12"/>
      <c r="D53" s="12" t="s">
        <v>701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 t="s">
        <v>701</v>
      </c>
      <c r="T53" s="12"/>
      <c r="U53" s="12"/>
      <c r="V53" s="12"/>
      <c r="W53" s="12"/>
      <c r="X53" s="12"/>
      <c r="Y53" s="12"/>
      <c r="Z53" s="12"/>
      <c r="AA53" s="12"/>
      <c r="AB53" s="12"/>
      <c r="AC53" s="12" t="str">
        <f>IF(OR(NOT(ISBLANK(AF53)), NOT(ISBLANK(AG53)), NOT(ISBLANK(AQ53)), NOT(ISBLANK(AN53))), "x", "")</f>
        <v/>
      </c>
      <c r="AD53" s="12"/>
      <c r="AE53" s="12"/>
      <c r="AF53" s="12"/>
      <c r="AG53" s="12"/>
      <c r="AH53" s="12"/>
      <c r="AI53" s="12" t="s">
        <v>701</v>
      </c>
      <c r="AJ53" s="12"/>
      <c r="AK53" s="12"/>
      <c r="AL53" s="12"/>
      <c r="AM53" s="12"/>
      <c r="AN53" s="12"/>
      <c r="AO53" s="12"/>
      <c r="AP53" s="12"/>
      <c r="AQ53" s="12"/>
    </row>
    <row r="54" spans="1:43" ht="13.5">
      <c r="A54" s="11" t="s">
        <v>72</v>
      </c>
      <c r="B54" s="12" t="s">
        <v>591</v>
      </c>
      <c r="C54" s="12"/>
      <c r="D54" s="12" t="s">
        <v>701</v>
      </c>
      <c r="E54" s="12"/>
      <c r="F54" s="12"/>
      <c r="G54" s="12" t="s">
        <v>701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 t="s">
        <v>701</v>
      </c>
      <c r="AA54" s="12" t="s">
        <v>701</v>
      </c>
      <c r="AB54" s="12"/>
      <c r="AC54" s="12" t="str">
        <f>IF(OR(NOT(ISBLANK(AF54)), NOT(ISBLANK(AG54)), NOT(ISBLANK(AQ54)), NOT(ISBLANK(AN54))), "x", "")</f>
        <v/>
      </c>
      <c r="AD54" s="12" t="s">
        <v>701</v>
      </c>
      <c r="AE54" s="12"/>
      <c r="AF54" s="12"/>
      <c r="AG54" s="12"/>
      <c r="AH54" s="12"/>
      <c r="AI54" s="12" t="s">
        <v>701</v>
      </c>
      <c r="AJ54" s="12"/>
      <c r="AK54" s="12"/>
      <c r="AL54" s="12"/>
      <c r="AM54" s="12" t="s">
        <v>701</v>
      </c>
      <c r="AN54" s="12"/>
      <c r="AO54" s="12"/>
      <c r="AP54" s="12"/>
      <c r="AQ54" s="12"/>
    </row>
    <row r="55" spans="1:43" ht="13.5">
      <c r="A55" s="11" t="s">
        <v>73</v>
      </c>
      <c r="B55" s="12" t="s">
        <v>593</v>
      </c>
      <c r="C55" s="12"/>
      <c r="D55" s="12" t="s">
        <v>701</v>
      </c>
      <c r="E55" s="12"/>
      <c r="F55" s="12"/>
      <c r="G55" s="12"/>
      <c r="H55" s="12" t="s">
        <v>701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 t="str">
        <f>IF(OR(NOT(ISBLANK(AF55)), NOT(ISBLANK(AG55)), NOT(ISBLANK(AQ55)), NOT(ISBLANK(AN55))), "x", "")</f>
        <v/>
      </c>
      <c r="AD55" s="12" t="s">
        <v>701</v>
      </c>
      <c r="AE55" s="12"/>
      <c r="AF55" s="12"/>
      <c r="AG55" s="12"/>
      <c r="AH55" s="12"/>
      <c r="AI55" s="12"/>
      <c r="AJ55" s="12"/>
      <c r="AK55" s="12"/>
      <c r="AL55" s="12"/>
      <c r="AM55" s="12" t="s">
        <v>701</v>
      </c>
      <c r="AN55" s="12"/>
      <c r="AO55" s="12" t="s">
        <v>701</v>
      </c>
      <c r="AP55" s="12" t="s">
        <v>701</v>
      </c>
      <c r="AQ55" s="12"/>
    </row>
    <row r="56" spans="1:43" ht="13.5">
      <c r="A56" s="11" t="s">
        <v>74</v>
      </c>
      <c r="B56" s="12" t="s">
        <v>597</v>
      </c>
      <c r="C56" s="12" t="s">
        <v>701</v>
      </c>
      <c r="D56" s="12" t="s">
        <v>701</v>
      </c>
      <c r="E56" s="12"/>
      <c r="F56" s="12" t="s">
        <v>701</v>
      </c>
      <c r="G56" s="12" t="s">
        <v>701</v>
      </c>
      <c r="H56" s="12"/>
      <c r="I56" s="12"/>
      <c r="J56" s="12"/>
      <c r="K56" s="12"/>
      <c r="L56" s="12"/>
      <c r="M56" s="12"/>
      <c r="N56" s="12"/>
      <c r="O56" s="12" t="s">
        <v>701</v>
      </c>
      <c r="P56" s="12" t="s">
        <v>701</v>
      </c>
      <c r="Q56" s="12" t="s">
        <v>701</v>
      </c>
      <c r="R56" s="12"/>
      <c r="S56" s="12" t="s">
        <v>701</v>
      </c>
      <c r="T56" s="12"/>
      <c r="U56" s="12"/>
      <c r="V56" s="12" t="s">
        <v>701</v>
      </c>
      <c r="W56" s="12"/>
      <c r="X56" s="12"/>
      <c r="Y56" s="12"/>
      <c r="Z56" s="12"/>
      <c r="AA56" s="12"/>
      <c r="AB56" s="12"/>
      <c r="AC56" s="12" t="str">
        <f>IF(OR(NOT(ISBLANK(AF56)), NOT(ISBLANK(AG56)), NOT(ISBLANK(AQ56)), NOT(ISBLANK(AN56))), "x", "")</f>
        <v/>
      </c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 spans="1:43" ht="13.5">
      <c r="A57" s="11" t="s">
        <v>75</v>
      </c>
      <c r="B57" s="12" t="s">
        <v>601</v>
      </c>
      <c r="C57" s="12" t="s">
        <v>701</v>
      </c>
      <c r="D57" s="12" t="s">
        <v>701</v>
      </c>
      <c r="E57" s="12"/>
      <c r="F57" s="12"/>
      <c r="G57" s="12" t="s">
        <v>701</v>
      </c>
      <c r="H57" s="12"/>
      <c r="I57" s="12" t="s">
        <v>701</v>
      </c>
      <c r="J57" s="12"/>
      <c r="K57" s="12"/>
      <c r="L57" s="12"/>
      <c r="M57" s="12"/>
      <c r="N57" s="12"/>
      <c r="O57" s="12"/>
      <c r="P57" s="12" t="s">
        <v>701</v>
      </c>
      <c r="Q57" s="12"/>
      <c r="R57" s="12"/>
      <c r="S57" s="12"/>
      <c r="T57" s="12"/>
      <c r="U57" s="12"/>
      <c r="V57" s="12" t="s">
        <v>701</v>
      </c>
      <c r="W57" s="12"/>
      <c r="X57" s="12"/>
      <c r="Y57" s="12"/>
      <c r="Z57" s="12"/>
      <c r="AA57" s="12"/>
      <c r="AB57" s="12"/>
      <c r="AC57" s="12" t="str">
        <f>IF(OR(NOT(ISBLANK(AF57)), NOT(ISBLANK(AG57)), NOT(ISBLANK(AQ57)), NOT(ISBLANK(AN57))), "x", "")</f>
        <v>x</v>
      </c>
      <c r="AD57" s="12"/>
      <c r="AE57" s="12"/>
      <c r="AF57" s="12"/>
      <c r="AG57" s="12"/>
      <c r="AH57" s="12"/>
      <c r="AI57" s="12"/>
      <c r="AJ57" s="12"/>
      <c r="AK57" s="12"/>
      <c r="AL57" s="12"/>
      <c r="AM57" s="12" t="s">
        <v>701</v>
      </c>
      <c r="AN57" s="12" t="s">
        <v>701</v>
      </c>
      <c r="AO57" s="12" t="s">
        <v>701</v>
      </c>
      <c r="AP57" s="12"/>
      <c r="AQ57" s="12"/>
    </row>
    <row r="58" spans="1:43" ht="13.5">
      <c r="A58" s="11" t="s">
        <v>76</v>
      </c>
      <c r="B58" s="12" t="s">
        <v>594</v>
      </c>
      <c r="C58" s="12" t="s">
        <v>701</v>
      </c>
      <c r="D58" s="12" t="s">
        <v>701</v>
      </c>
      <c r="E58" s="12"/>
      <c r="F58" s="12"/>
      <c r="G58" s="12" t="s">
        <v>701</v>
      </c>
      <c r="H58" s="12" t="s">
        <v>701</v>
      </c>
      <c r="I58" s="12" t="s">
        <v>701</v>
      </c>
      <c r="J58" s="12"/>
      <c r="K58" s="12"/>
      <c r="L58" s="12"/>
      <c r="M58" s="12"/>
      <c r="N58" s="12"/>
      <c r="O58" s="12"/>
      <c r="P58" s="12" t="s">
        <v>701</v>
      </c>
      <c r="Q58" s="12"/>
      <c r="R58" s="12"/>
      <c r="S58" s="12"/>
      <c r="T58" s="12"/>
      <c r="U58" s="12"/>
      <c r="V58" s="12" t="s">
        <v>701</v>
      </c>
      <c r="W58" s="12"/>
      <c r="X58" s="12"/>
      <c r="Y58" s="12"/>
      <c r="Z58" s="12"/>
      <c r="AA58" s="12"/>
      <c r="AB58" s="12"/>
      <c r="AC58" s="12" t="str">
        <f>IF(OR(NOT(ISBLANK(AF58)), NOT(ISBLANK(AG58)), NOT(ISBLANK(AQ58)), NOT(ISBLANK(AN58))), "x", "")</f>
        <v>x</v>
      </c>
      <c r="AD58" s="12"/>
      <c r="AE58" s="12"/>
      <c r="AF58" s="12"/>
      <c r="AG58" s="12"/>
      <c r="AH58" s="12"/>
      <c r="AI58" s="12"/>
      <c r="AJ58" s="12"/>
      <c r="AK58" s="12"/>
      <c r="AL58" s="12"/>
      <c r="AM58" s="12" t="s">
        <v>701</v>
      </c>
      <c r="AN58" s="12" t="s">
        <v>701</v>
      </c>
      <c r="AO58" s="12" t="s">
        <v>701</v>
      </c>
      <c r="AP58" s="12"/>
      <c r="AQ58" s="12"/>
    </row>
    <row r="59" spans="1:43" ht="13.5">
      <c r="A59" s="11" t="s">
        <v>77</v>
      </c>
      <c r="B59" s="12" t="s">
        <v>590</v>
      </c>
      <c r="C59" s="12" t="s">
        <v>701</v>
      </c>
      <c r="D59" s="12" t="s">
        <v>701</v>
      </c>
      <c r="E59" s="12"/>
      <c r="F59" s="12"/>
      <c r="G59" s="12" t="s">
        <v>701</v>
      </c>
      <c r="H59" s="12" t="s">
        <v>701</v>
      </c>
      <c r="I59" s="12" t="s">
        <v>701</v>
      </c>
      <c r="J59" s="12"/>
      <c r="K59" s="12"/>
      <c r="L59" s="12"/>
      <c r="M59" s="12"/>
      <c r="N59" s="12"/>
      <c r="O59" s="12"/>
      <c r="P59" s="12" t="s">
        <v>701</v>
      </c>
      <c r="Q59" s="12"/>
      <c r="R59" s="12"/>
      <c r="S59" s="12"/>
      <c r="T59" s="12"/>
      <c r="U59" s="12"/>
      <c r="V59" s="12" t="s">
        <v>701</v>
      </c>
      <c r="W59" s="12"/>
      <c r="X59" s="12"/>
      <c r="Y59" s="12"/>
      <c r="Z59" s="12" t="s">
        <v>701</v>
      </c>
      <c r="AA59" s="12"/>
      <c r="AB59" s="12"/>
      <c r="AC59" s="12" t="str">
        <f>IF(OR(NOT(ISBLANK(AF59)), NOT(ISBLANK(AG59)), NOT(ISBLANK(AQ59)), NOT(ISBLANK(AN59))), "x", "")</f>
        <v>x</v>
      </c>
      <c r="AD59" s="12"/>
      <c r="AE59" s="12"/>
      <c r="AF59" s="12"/>
      <c r="AG59" s="12"/>
      <c r="AH59" s="12"/>
      <c r="AI59" s="12"/>
      <c r="AJ59" s="12"/>
      <c r="AK59" s="12"/>
      <c r="AL59" s="12"/>
      <c r="AM59" s="12" t="s">
        <v>701</v>
      </c>
      <c r="AN59" s="12" t="s">
        <v>701</v>
      </c>
      <c r="AO59" s="12" t="s">
        <v>701</v>
      </c>
      <c r="AP59" s="12"/>
      <c r="AQ59" s="12"/>
    </row>
    <row r="60" spans="1:43" ht="13.5">
      <c r="A60" s="11" t="s">
        <v>78</v>
      </c>
      <c r="B60" s="12" t="s">
        <v>590</v>
      </c>
      <c r="C60" s="12" t="s">
        <v>701</v>
      </c>
      <c r="D60" s="12" t="s">
        <v>701</v>
      </c>
      <c r="E60" s="12"/>
      <c r="F60" s="12"/>
      <c r="G60" s="12" t="s">
        <v>701</v>
      </c>
      <c r="H60" s="12" t="s">
        <v>701</v>
      </c>
      <c r="I60" s="12" t="s">
        <v>701</v>
      </c>
      <c r="J60" s="12"/>
      <c r="K60" s="12"/>
      <c r="L60" s="12"/>
      <c r="M60" s="12"/>
      <c r="N60" s="12"/>
      <c r="O60" s="12" t="s">
        <v>701</v>
      </c>
      <c r="P60" s="12" t="s">
        <v>701</v>
      </c>
      <c r="Q60" s="12"/>
      <c r="R60" s="12"/>
      <c r="S60" s="12" t="s">
        <v>701</v>
      </c>
      <c r="T60" s="12"/>
      <c r="U60" s="12" t="s">
        <v>701</v>
      </c>
      <c r="V60" s="12" t="s">
        <v>701</v>
      </c>
      <c r="W60" s="12"/>
      <c r="X60" s="12"/>
      <c r="Y60" s="12"/>
      <c r="Z60" s="12" t="s">
        <v>701</v>
      </c>
      <c r="AA60" s="12"/>
      <c r="AB60" s="12"/>
      <c r="AC60" s="12" t="str" cm="1">
        <f t="array" ref="AC60">IF(OR(NOT(ISBLANK(AG6x)), NOT(ISBLANK(AH6x)), NOT(ISBLANK(AR6x)), NOT(ISBLANK(AO6x))), "x", "")</f>
        <v>x</v>
      </c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 spans="1:43" ht="13.5">
      <c r="A61" s="11" t="s">
        <v>79</v>
      </c>
      <c r="B61" s="12" t="s">
        <v>590</v>
      </c>
      <c r="C61" s="12" t="s">
        <v>701</v>
      </c>
      <c r="D61" s="12" t="s">
        <v>701</v>
      </c>
      <c r="E61" s="12"/>
      <c r="F61" s="12"/>
      <c r="G61" s="12" t="s">
        <v>701</v>
      </c>
      <c r="H61" s="12" t="s">
        <v>701</v>
      </c>
      <c r="I61" s="12" t="s">
        <v>701</v>
      </c>
      <c r="J61" s="12"/>
      <c r="K61" s="12"/>
      <c r="L61" s="12"/>
      <c r="M61" s="12"/>
      <c r="N61" s="12"/>
      <c r="O61" s="12" t="s">
        <v>701</v>
      </c>
      <c r="P61" s="12" t="s">
        <v>701</v>
      </c>
      <c r="Q61" s="12"/>
      <c r="R61" s="12"/>
      <c r="S61" s="12" t="s">
        <v>701</v>
      </c>
      <c r="T61" s="12"/>
      <c r="U61" s="12"/>
      <c r="V61" s="12" t="s">
        <v>701</v>
      </c>
      <c r="W61" s="12"/>
      <c r="X61" s="12"/>
      <c r="Y61" s="12"/>
      <c r="Z61" s="12" t="s">
        <v>701</v>
      </c>
      <c r="AA61" s="12"/>
      <c r="AB61" s="12"/>
      <c r="AC61" s="12" t="str">
        <f>IF(OR(NOT(ISBLANK(AF61)), NOT(ISBLANK(AG61)), NOT(ISBLANK(AQ61)), NOT(ISBLANK(AN61))), "x", "")</f>
        <v>x</v>
      </c>
      <c r="AD61" s="12"/>
      <c r="AE61" s="12"/>
      <c r="AF61" s="12"/>
      <c r="AG61" s="12"/>
      <c r="AH61" s="12"/>
      <c r="AI61" s="12"/>
      <c r="AJ61" s="12"/>
      <c r="AK61" s="12"/>
      <c r="AL61" s="12"/>
      <c r="AM61" s="12" t="s">
        <v>701</v>
      </c>
      <c r="AN61" s="12" t="s">
        <v>701</v>
      </c>
      <c r="AO61" s="12" t="s">
        <v>701</v>
      </c>
      <c r="AP61" s="12"/>
      <c r="AQ61" s="12"/>
    </row>
    <row r="62" spans="1:43" ht="13.5">
      <c r="A62" s="11" t="s">
        <v>80</v>
      </c>
      <c r="B62" s="12" t="s">
        <v>601</v>
      </c>
      <c r="C62" s="12"/>
      <c r="D62" s="12" t="s">
        <v>701</v>
      </c>
      <c r="E62" s="12"/>
      <c r="F62" s="12"/>
      <c r="G62" s="12" t="s">
        <v>701</v>
      </c>
      <c r="H62" s="12" t="s">
        <v>701</v>
      </c>
      <c r="I62" s="12"/>
      <c r="J62" s="12"/>
      <c r="K62" s="12"/>
      <c r="L62" s="12"/>
      <c r="M62" s="12"/>
      <c r="N62" s="12"/>
      <c r="O62" s="12"/>
      <c r="P62" s="12" t="s">
        <v>701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 t="s">
        <v>701</v>
      </c>
      <c r="AB62" s="12" t="s">
        <v>701</v>
      </c>
      <c r="AC62" s="12" t="str">
        <f>IF(OR(NOT(ISBLANK(AF62)), NOT(ISBLANK(AG62)), NOT(ISBLANK(AQ62)), NOT(ISBLANK(AN62))), "x", "")</f>
        <v/>
      </c>
      <c r="AD62" s="12" t="s">
        <v>701</v>
      </c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</row>
    <row r="63" spans="1:43" ht="13.5">
      <c r="A63" s="11" t="s">
        <v>81</v>
      </c>
      <c r="B63" s="12" t="s">
        <v>596</v>
      </c>
      <c r="C63" s="12" t="s">
        <v>701</v>
      </c>
      <c r="D63" s="12" t="s">
        <v>701</v>
      </c>
      <c r="E63" s="12"/>
      <c r="F63" s="12"/>
      <c r="G63" s="12" t="s">
        <v>701</v>
      </c>
      <c r="H63" s="12"/>
      <c r="I63" s="12" t="s">
        <v>701</v>
      </c>
      <c r="J63" s="12"/>
      <c r="K63" s="12"/>
      <c r="L63" s="12"/>
      <c r="M63" s="12"/>
      <c r="N63" s="12"/>
      <c r="O63" s="12" t="s">
        <v>701</v>
      </c>
      <c r="P63" s="12" t="s">
        <v>701</v>
      </c>
      <c r="Q63" s="12"/>
      <c r="R63" s="12"/>
      <c r="S63" s="12" t="s">
        <v>701</v>
      </c>
      <c r="T63" s="12"/>
      <c r="U63" s="12"/>
      <c r="V63" s="12" t="s">
        <v>701</v>
      </c>
      <c r="W63" s="12"/>
      <c r="X63" s="12"/>
      <c r="Y63" s="12"/>
      <c r="Z63" s="12"/>
      <c r="AA63" s="12"/>
      <c r="AB63" s="12"/>
      <c r="AC63" s="12" t="str">
        <f>IF(OR(NOT(ISBLANK(AF63)), NOT(ISBLANK(AG63)), NOT(ISBLANK(AQ63)), NOT(ISBLANK(AN63))), "x", "")</f>
        <v>x</v>
      </c>
      <c r="AD63" s="12"/>
      <c r="AE63" s="12"/>
      <c r="AF63" s="12"/>
      <c r="AG63" s="12"/>
      <c r="AH63" s="12"/>
      <c r="AI63" s="12"/>
      <c r="AJ63" s="12"/>
      <c r="AK63" s="12"/>
      <c r="AL63" s="12"/>
      <c r="AM63" s="12" t="s">
        <v>701</v>
      </c>
      <c r="AN63" s="12" t="s">
        <v>701</v>
      </c>
      <c r="AO63" s="12" t="s">
        <v>701</v>
      </c>
      <c r="AP63" s="12"/>
      <c r="AQ63" s="12"/>
    </row>
    <row r="64" spans="1:43" ht="13.5">
      <c r="A64" s="11" t="s">
        <v>82</v>
      </c>
      <c r="B64" s="12" t="s">
        <v>601</v>
      </c>
      <c r="C64" s="12" t="s">
        <v>701</v>
      </c>
      <c r="D64" s="12" t="s">
        <v>701</v>
      </c>
      <c r="E64" s="12"/>
      <c r="F64" s="12"/>
      <c r="G64" s="12" t="s">
        <v>701</v>
      </c>
      <c r="H64" s="12" t="s">
        <v>701</v>
      </c>
      <c r="I64" s="12" t="s">
        <v>701</v>
      </c>
      <c r="J64" s="12"/>
      <c r="K64" s="12"/>
      <c r="L64" s="12"/>
      <c r="M64" s="12"/>
      <c r="N64" s="12"/>
      <c r="O64" s="12" t="s">
        <v>701</v>
      </c>
      <c r="P64" s="12" t="s">
        <v>701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 t="str">
        <f>IF(OR(NOT(ISBLANK(AF64)), NOT(ISBLANK(AG64)), NOT(ISBLANK(AQ64)), NOT(ISBLANK(AN64))), "x", "")</f>
        <v/>
      </c>
      <c r="AD64" s="12" t="s">
        <v>701</v>
      </c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 spans="1:43" ht="13.5">
      <c r="A65" s="11" t="s">
        <v>83</v>
      </c>
      <c r="B65" s="12" t="s">
        <v>588</v>
      </c>
      <c r="C65" s="12"/>
      <c r="D65" s="12"/>
      <c r="E65" s="12"/>
      <c r="F65" s="12" t="s">
        <v>701</v>
      </c>
      <c r="G65" s="12" t="s">
        <v>701</v>
      </c>
      <c r="H65" s="12"/>
      <c r="I65" s="12"/>
      <c r="J65" s="12"/>
      <c r="K65" s="12"/>
      <c r="L65" s="12"/>
      <c r="M65" s="12"/>
      <c r="N65" s="12"/>
      <c r="O65" s="12" t="s">
        <v>701</v>
      </c>
      <c r="P65" s="12"/>
      <c r="Q65" s="12" t="s">
        <v>701</v>
      </c>
      <c r="R65" s="12"/>
      <c r="S65" s="12"/>
      <c r="T65" s="12"/>
      <c r="U65" s="12"/>
      <c r="V65" s="12"/>
      <c r="W65" s="12"/>
      <c r="X65" s="12"/>
      <c r="Y65" s="12"/>
      <c r="Z65" s="12" t="s">
        <v>701</v>
      </c>
      <c r="AA65" s="12" t="s">
        <v>701</v>
      </c>
      <c r="AB65" s="12"/>
      <c r="AC65" s="12" t="str">
        <f>IF(OR(NOT(ISBLANK(AF65)), NOT(ISBLANK(AG65)), NOT(ISBLANK(AQ65)), NOT(ISBLANK(AN65))), "x", "")</f>
        <v/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</row>
    <row r="66" spans="1:43" ht="13.5">
      <c r="A66" s="11" t="s">
        <v>84</v>
      </c>
      <c r="B66" s="12" t="s">
        <v>599</v>
      </c>
      <c r="C66" s="12"/>
      <c r="D66" s="12"/>
      <c r="E66" s="12" t="s">
        <v>701</v>
      </c>
      <c r="F66" s="12" t="s">
        <v>701</v>
      </c>
      <c r="G66" s="12" t="s">
        <v>701</v>
      </c>
      <c r="H66" s="12"/>
      <c r="I66" s="12" t="s">
        <v>701</v>
      </c>
      <c r="J66" s="12"/>
      <c r="K66" s="12"/>
      <c r="L66" s="12"/>
      <c r="M66" s="12" t="s">
        <v>701</v>
      </c>
      <c r="N66" s="12"/>
      <c r="O66" s="12" t="s">
        <v>701</v>
      </c>
      <c r="P66" s="12"/>
      <c r="Q66" s="12" t="s">
        <v>701</v>
      </c>
      <c r="R66" s="12"/>
      <c r="S66" s="12"/>
      <c r="T66" s="12"/>
      <c r="U66" s="12"/>
      <c r="V66" s="12"/>
      <c r="W66" s="12" t="s">
        <v>701</v>
      </c>
      <c r="X66" s="12"/>
      <c r="Y66" s="12" t="s">
        <v>701</v>
      </c>
      <c r="Z66" s="12" t="s">
        <v>701</v>
      </c>
      <c r="AA66" s="12"/>
      <c r="AB66" s="12"/>
      <c r="AC66" s="12" t="str">
        <f>IF(OR(NOT(ISBLANK(AF66)), NOT(ISBLANK(AG66)), NOT(ISBLANK(AQ66)), NOT(ISBLANK(AN66))), "x", "")</f>
        <v/>
      </c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</row>
    <row r="67" spans="1:43" ht="13.5">
      <c r="A67" s="11" t="s">
        <v>85</v>
      </c>
      <c r="B67" s="12" t="s">
        <v>606</v>
      </c>
      <c r="C67" s="12"/>
      <c r="D67" s="12"/>
      <c r="E67" s="12" t="s">
        <v>701</v>
      </c>
      <c r="F67" s="12"/>
      <c r="G67" s="12"/>
      <c r="H67" s="12" t="s">
        <v>701</v>
      </c>
      <c r="I67" s="12"/>
      <c r="J67" s="12" t="s">
        <v>701</v>
      </c>
      <c r="K67" s="12"/>
      <c r="L67" s="12"/>
      <c r="M67" s="12" t="s">
        <v>701</v>
      </c>
      <c r="N67" s="12"/>
      <c r="O67" s="12"/>
      <c r="P67" s="12"/>
      <c r="Q67" s="12" t="s">
        <v>701</v>
      </c>
      <c r="R67" s="12"/>
      <c r="S67" s="12"/>
      <c r="T67" s="12"/>
      <c r="U67" s="12"/>
      <c r="V67" s="12"/>
      <c r="W67" s="12"/>
      <c r="X67" s="12"/>
      <c r="Y67" s="12"/>
      <c r="Z67" s="12"/>
      <c r="AA67" s="12" t="s">
        <v>701</v>
      </c>
      <c r="AB67" s="12" t="s">
        <v>701</v>
      </c>
      <c r="AC67" s="12" t="str">
        <f>IF(OR(NOT(ISBLANK(AF67)), NOT(ISBLANK(AG67)), NOT(ISBLANK(AQ67)), NOT(ISBLANK(AN67))), "x", "")</f>
        <v/>
      </c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</row>
    <row r="68" spans="1:43" ht="13.5">
      <c r="A68" s="11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 t="str">
        <f>IF(OR(NOT(ISBLANK(AF68)), NOT(ISBLANK(AG68)), NOT(ISBLANK(AQ68)), NOT(ISBLANK(AN68))), "x", "")</f>
        <v/>
      </c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</row>
    <row r="69" spans="1:43" ht="13.5">
      <c r="A69" s="11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 t="str">
        <f>IF(OR(NOT(ISBLANK(AF69)), NOT(ISBLANK(AG69)), NOT(ISBLANK(AQ69)), NOT(ISBLANK(AN69))), "x", "")</f>
        <v/>
      </c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</row>
    <row r="70" spans="1:43" ht="13.5">
      <c r="A70" s="11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 t="str" cm="1">
        <f t="array" ref="AC70">IF(OR(NOT(ISBLANK(AG7x)), NOT(ISBLANK(AH7x)), NOT(ISBLANK(AR7x)), NOT(ISBLANK(AO7x))), "x", "")</f>
        <v>x</v>
      </c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</row>
    <row r="71" spans="1:43" ht="13.5">
      <c r="A71" s="11" t="s">
        <v>89</v>
      </c>
      <c r="B71" s="12" t="s">
        <v>587</v>
      </c>
      <c r="C71" s="12"/>
      <c r="D71" s="12" t="s">
        <v>701</v>
      </c>
      <c r="E71" s="12"/>
      <c r="F71" s="12" t="s">
        <v>701</v>
      </c>
      <c r="G71" s="12" t="s">
        <v>701</v>
      </c>
      <c r="H71" s="12" t="s">
        <v>701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 t="s">
        <v>701</v>
      </c>
      <c r="T71" s="12"/>
      <c r="U71" s="12"/>
      <c r="V71" s="12"/>
      <c r="W71" s="12" t="s">
        <v>701</v>
      </c>
      <c r="X71" s="12"/>
      <c r="Y71" s="12"/>
      <c r="Z71" s="12"/>
      <c r="AA71" s="12"/>
      <c r="AB71" s="12"/>
      <c r="AC71" s="12" t="str">
        <f>IF(OR(NOT(ISBLANK(AF71)), NOT(ISBLANK(AG71)), NOT(ISBLANK(AQ71)), NOT(ISBLANK(AN71))), "x", "")</f>
        <v/>
      </c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</row>
    <row r="72" spans="1:43" ht="13.5">
      <c r="A72" s="11" t="s">
        <v>90</v>
      </c>
      <c r="B72" s="12" t="s">
        <v>588</v>
      </c>
      <c r="C72" s="12" t="s">
        <v>701</v>
      </c>
      <c r="D72" s="12" t="s">
        <v>701</v>
      </c>
      <c r="E72" s="12"/>
      <c r="F72" s="12"/>
      <c r="G72" s="12" t="s">
        <v>701</v>
      </c>
      <c r="H72" s="12"/>
      <c r="I72" s="12" t="s">
        <v>701</v>
      </c>
      <c r="J72" s="12"/>
      <c r="K72" s="12"/>
      <c r="L72" s="12"/>
      <c r="M72" s="12"/>
      <c r="N72" s="12"/>
      <c r="O72" s="12" t="s">
        <v>701</v>
      </c>
      <c r="P72" s="12"/>
      <c r="Q72" s="12"/>
      <c r="R72" s="12"/>
      <c r="S72" s="12"/>
      <c r="T72" s="12"/>
      <c r="U72" s="12"/>
      <c r="V72" s="12" t="s">
        <v>701</v>
      </c>
      <c r="W72" s="12" t="s">
        <v>701</v>
      </c>
      <c r="X72" s="12" t="s">
        <v>701</v>
      </c>
      <c r="Y72" s="12" t="s">
        <v>701</v>
      </c>
      <c r="Z72" s="12" t="s">
        <v>701</v>
      </c>
      <c r="AA72" s="12" t="s">
        <v>701</v>
      </c>
      <c r="AB72" s="12" t="s">
        <v>701</v>
      </c>
      <c r="AC72" s="12" t="str">
        <f>IF(OR(NOT(ISBLANK(AF72)), NOT(ISBLANK(AG72)), NOT(ISBLANK(AQ72)), NOT(ISBLANK(AN72))), "x", "")</f>
        <v/>
      </c>
      <c r="AD72" s="12" t="s">
        <v>701</v>
      </c>
      <c r="AE72" s="12"/>
      <c r="AF72" s="12"/>
      <c r="AG72" s="12"/>
      <c r="AH72" s="12"/>
      <c r="AI72" s="12"/>
      <c r="AJ72" s="12"/>
      <c r="AK72" s="12"/>
      <c r="AL72" s="12"/>
      <c r="AM72" s="12" t="s">
        <v>701</v>
      </c>
      <c r="AN72" s="12"/>
      <c r="AO72" s="12"/>
      <c r="AP72" s="12"/>
      <c r="AQ72" s="12"/>
    </row>
    <row r="73" spans="1:43" ht="13.5">
      <c r="A73" s="11" t="s">
        <v>91</v>
      </c>
      <c r="B73" s="12" t="s">
        <v>588</v>
      </c>
      <c r="C73" s="12" t="s">
        <v>701</v>
      </c>
      <c r="D73" s="12" t="s">
        <v>701</v>
      </c>
      <c r="E73" s="12"/>
      <c r="F73" s="12" t="s">
        <v>701</v>
      </c>
      <c r="G73" s="12" t="s">
        <v>701</v>
      </c>
      <c r="H73" s="12" t="s">
        <v>701</v>
      </c>
      <c r="I73" s="12"/>
      <c r="J73" s="12"/>
      <c r="K73" s="12"/>
      <c r="L73" s="12"/>
      <c r="M73" s="12"/>
      <c r="N73" s="12"/>
      <c r="O73" s="12"/>
      <c r="P73" s="12"/>
      <c r="Q73" s="12" t="s">
        <v>701</v>
      </c>
      <c r="R73" s="12"/>
      <c r="S73" s="12" t="s">
        <v>701</v>
      </c>
      <c r="T73" s="12"/>
      <c r="U73" s="12"/>
      <c r="V73" s="12"/>
      <c r="W73" s="12"/>
      <c r="X73" s="12"/>
      <c r="Y73" s="12"/>
      <c r="Z73" s="12"/>
      <c r="AA73" s="12"/>
      <c r="AB73" s="12"/>
      <c r="AC73" s="12" t="str">
        <f>IF(OR(NOT(ISBLANK(AF73)), NOT(ISBLANK(AG73)), NOT(ISBLANK(AQ73)), NOT(ISBLANK(AN73))), "x", "")</f>
        <v/>
      </c>
      <c r="AD73" s="12" t="s">
        <v>701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spans="1:43" ht="13.5">
      <c r="A74" s="11" t="s">
        <v>92</v>
      </c>
      <c r="B74" s="12" t="s">
        <v>588</v>
      </c>
      <c r="C74" s="12" t="s">
        <v>701</v>
      </c>
      <c r="D74" s="12" t="s">
        <v>701</v>
      </c>
      <c r="E74" s="12"/>
      <c r="F74" s="12" t="s">
        <v>701</v>
      </c>
      <c r="G74" s="12" t="s">
        <v>701</v>
      </c>
      <c r="H74" s="12" t="s">
        <v>701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 t="s">
        <v>701</v>
      </c>
      <c r="U74" s="12" t="s">
        <v>701</v>
      </c>
      <c r="V74" s="12"/>
      <c r="W74" s="12"/>
      <c r="X74" s="12"/>
      <c r="Y74" s="12"/>
      <c r="Z74" s="12"/>
      <c r="AA74" s="12"/>
      <c r="AB74" s="12"/>
      <c r="AC74" s="12" t="str">
        <f>IF(OR(NOT(ISBLANK(AF74)), NOT(ISBLANK(AG74)), NOT(ISBLANK(AQ74)), NOT(ISBLANK(AN74))), "x", "")</f>
        <v/>
      </c>
      <c r="AD74" s="12" t="s">
        <v>701</v>
      </c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spans="1:43" ht="13.5">
      <c r="A75" s="11" t="s">
        <v>93</v>
      </c>
      <c r="B75" s="12" t="s">
        <v>601</v>
      </c>
      <c r="C75" s="12" t="s">
        <v>701</v>
      </c>
      <c r="D75" s="12" t="s">
        <v>701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 t="s">
        <v>701</v>
      </c>
      <c r="AB75" s="12" t="s">
        <v>701</v>
      </c>
      <c r="AC75" s="12" t="str">
        <f>IF(OR(NOT(ISBLANK(AF75)), NOT(ISBLANK(AG75)), NOT(ISBLANK(AQ75)), NOT(ISBLANK(AN75))), "x", "")</f>
        <v/>
      </c>
      <c r="AD75" s="12" t="s">
        <v>701</v>
      </c>
      <c r="AE75" s="12"/>
      <c r="AF75" s="12"/>
      <c r="AG75" s="12"/>
      <c r="AH75" s="12"/>
      <c r="AI75" s="12"/>
      <c r="AJ75" s="12"/>
      <c r="AK75" s="12"/>
      <c r="AL75" s="12"/>
      <c r="AM75" s="12" t="s">
        <v>701</v>
      </c>
      <c r="AN75" s="12"/>
      <c r="AO75" s="12" t="s">
        <v>701</v>
      </c>
      <c r="AP75" s="12" t="s">
        <v>701</v>
      </c>
      <c r="AQ75" s="12"/>
    </row>
    <row r="76" spans="1:43" ht="13.5">
      <c r="A76" s="11" t="s">
        <v>94</v>
      </c>
      <c r="B76" s="12" t="s">
        <v>588</v>
      </c>
      <c r="C76" s="12" t="s">
        <v>701</v>
      </c>
      <c r="D76" s="12" t="s">
        <v>701</v>
      </c>
      <c r="E76" s="12"/>
      <c r="F76" s="12"/>
      <c r="G76" s="12" t="s">
        <v>701</v>
      </c>
      <c r="H76" s="12"/>
      <c r="I76" s="12"/>
      <c r="J76" s="12"/>
      <c r="K76" s="12"/>
      <c r="L76" s="12"/>
      <c r="M76" s="12"/>
      <c r="N76" s="12"/>
      <c r="O76" s="12"/>
      <c r="P76" s="12"/>
      <c r="Q76" s="12" t="s">
        <v>701</v>
      </c>
      <c r="R76" s="12"/>
      <c r="S76" s="12" t="s">
        <v>701</v>
      </c>
      <c r="T76" s="12"/>
      <c r="U76" s="12" t="s">
        <v>701</v>
      </c>
      <c r="V76" s="12"/>
      <c r="W76" s="12"/>
      <c r="X76" s="12"/>
      <c r="Y76" s="12"/>
      <c r="Z76" s="12"/>
      <c r="AA76" s="12"/>
      <c r="AB76" s="12"/>
      <c r="AC76" s="12" t="str">
        <f>IF(OR(NOT(ISBLANK(AF76)), NOT(ISBLANK(AG76)), NOT(ISBLANK(AQ76)), NOT(ISBLANK(AN76))), "x", "")</f>
        <v/>
      </c>
      <c r="AD76" s="12" t="s">
        <v>701</v>
      </c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</row>
    <row r="77" spans="1:43" ht="13.5">
      <c r="A77" s="11" t="s">
        <v>95</v>
      </c>
      <c r="B77" s="12" t="s">
        <v>593</v>
      </c>
      <c r="C77" s="12" t="s">
        <v>701</v>
      </c>
      <c r="D77" s="12" t="s">
        <v>701</v>
      </c>
      <c r="E77" s="12"/>
      <c r="F77" s="12"/>
      <c r="G77" s="12"/>
      <c r="H77" s="12" t="s">
        <v>701</v>
      </c>
      <c r="I77" s="12" t="s">
        <v>701</v>
      </c>
      <c r="J77" s="12" t="s">
        <v>701</v>
      </c>
      <c r="K77" s="12"/>
      <c r="L77" s="12"/>
      <c r="M77" s="12"/>
      <c r="N77" s="12"/>
      <c r="O77" s="12" t="s">
        <v>701</v>
      </c>
      <c r="P77" s="12"/>
      <c r="Q77" s="12" t="s">
        <v>701</v>
      </c>
      <c r="R77" s="12"/>
      <c r="S77" s="12" t="s">
        <v>701</v>
      </c>
      <c r="T77" s="12"/>
      <c r="U77" s="12"/>
      <c r="V77" s="12" t="s">
        <v>701</v>
      </c>
      <c r="W77" s="12"/>
      <c r="X77" s="12"/>
      <c r="Y77" s="12"/>
      <c r="Z77" s="12"/>
      <c r="AA77" s="12" t="s">
        <v>701</v>
      </c>
      <c r="AB77" s="12" t="s">
        <v>701</v>
      </c>
      <c r="AC77" s="12" t="str">
        <f>IF(OR(NOT(ISBLANK(AF77)), NOT(ISBLANK(AG77)), NOT(ISBLANK(AQ77)), NOT(ISBLANK(AN77))), "x", "")</f>
        <v/>
      </c>
      <c r="AD77" s="12" t="s">
        <v>701</v>
      </c>
      <c r="AE77" s="12"/>
      <c r="AF77" s="12"/>
      <c r="AG77" s="12"/>
      <c r="AH77" s="12"/>
      <c r="AI77" s="12"/>
      <c r="AJ77" s="12"/>
      <c r="AK77" s="12"/>
      <c r="AL77" s="12"/>
      <c r="AM77" s="12" t="s">
        <v>701</v>
      </c>
      <c r="AN77" s="12"/>
      <c r="AO77" s="12" t="s">
        <v>701</v>
      </c>
      <c r="AP77" s="12" t="s">
        <v>701</v>
      </c>
      <c r="AQ77" s="12"/>
    </row>
    <row r="78" spans="1:43" ht="13.5">
      <c r="A78" s="11" t="s">
        <v>96</v>
      </c>
      <c r="B78" s="12" t="s">
        <v>593</v>
      </c>
      <c r="C78" s="12" t="s">
        <v>701</v>
      </c>
      <c r="D78" s="12" t="s">
        <v>701</v>
      </c>
      <c r="E78" s="12"/>
      <c r="F78" s="12" t="s">
        <v>701</v>
      </c>
      <c r="G78" s="12"/>
      <c r="H78" s="12" t="s">
        <v>701</v>
      </c>
      <c r="I78" s="12" t="s">
        <v>701</v>
      </c>
      <c r="J78" s="12" t="s">
        <v>701</v>
      </c>
      <c r="K78" s="12"/>
      <c r="L78" s="12"/>
      <c r="M78" s="12"/>
      <c r="N78" s="12"/>
      <c r="O78" s="12" t="s">
        <v>701</v>
      </c>
      <c r="P78" s="12"/>
      <c r="Q78" s="12" t="s">
        <v>701</v>
      </c>
      <c r="R78" s="12"/>
      <c r="S78" s="12" t="s">
        <v>701</v>
      </c>
      <c r="T78" s="12"/>
      <c r="U78" s="12"/>
      <c r="V78" s="12" t="s">
        <v>701</v>
      </c>
      <c r="W78" s="12"/>
      <c r="X78" s="12" t="s">
        <v>701</v>
      </c>
      <c r="Y78" s="12"/>
      <c r="Z78" s="12"/>
      <c r="AA78" s="12" t="s">
        <v>701</v>
      </c>
      <c r="AB78" s="12" t="s">
        <v>701</v>
      </c>
      <c r="AC78" s="12" t="str">
        <f>IF(OR(NOT(ISBLANK(AF78)), NOT(ISBLANK(AG78)), NOT(ISBLANK(AQ78)), NOT(ISBLANK(AN78))), "x", "")</f>
        <v/>
      </c>
      <c r="AD78" s="12" t="s">
        <v>701</v>
      </c>
      <c r="AE78" s="12"/>
      <c r="AF78" s="12"/>
      <c r="AG78" s="12"/>
      <c r="AH78" s="12"/>
      <c r="AI78" s="12"/>
      <c r="AJ78" s="12"/>
      <c r="AK78" s="12"/>
      <c r="AL78" s="12"/>
      <c r="AM78" s="12" t="s">
        <v>701</v>
      </c>
      <c r="AN78" s="12"/>
      <c r="AO78" s="12" t="s">
        <v>701</v>
      </c>
      <c r="AP78" s="12" t="s">
        <v>701</v>
      </c>
      <c r="AQ78" s="12"/>
    </row>
    <row r="79" spans="1:43" ht="13.5">
      <c r="A79" s="11" t="s">
        <v>97</v>
      </c>
      <c r="B79" s="12" t="s">
        <v>601</v>
      </c>
      <c r="C79" s="12" t="s">
        <v>701</v>
      </c>
      <c r="D79" s="12" t="s">
        <v>701</v>
      </c>
      <c r="E79" s="12"/>
      <c r="F79" s="12"/>
      <c r="G79" s="12"/>
      <c r="H79" s="12"/>
      <c r="I79" s="12" t="s">
        <v>701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 t="s">
        <v>701</v>
      </c>
      <c r="X79" s="12" t="s">
        <v>701</v>
      </c>
      <c r="Y79" s="12"/>
      <c r="Z79" s="12"/>
      <c r="AA79" s="12"/>
      <c r="AB79" s="12" t="s">
        <v>701</v>
      </c>
      <c r="AC79" s="12" t="str">
        <f>IF(OR(NOT(ISBLANK(AF79)), NOT(ISBLANK(AG79)), NOT(ISBLANK(AQ79)), NOT(ISBLANK(AN79))), "x", "")</f>
        <v>x</v>
      </c>
      <c r="AD79" s="12" t="s">
        <v>701</v>
      </c>
      <c r="AE79" s="12"/>
      <c r="AF79" s="12"/>
      <c r="AG79" s="12" t="s">
        <v>701</v>
      </c>
      <c r="AH79" s="12"/>
      <c r="AI79" s="12"/>
      <c r="AJ79" s="12"/>
      <c r="AK79" s="12"/>
      <c r="AL79" s="12"/>
      <c r="AM79" s="12" t="s">
        <v>701</v>
      </c>
      <c r="AN79" s="12"/>
      <c r="AO79" s="12" t="s">
        <v>701</v>
      </c>
      <c r="AP79" s="12" t="s">
        <v>701</v>
      </c>
      <c r="AQ79" s="12"/>
    </row>
    <row r="80" spans="1:43" ht="13.5">
      <c r="A80" s="11" t="s">
        <v>98</v>
      </c>
      <c r="B80" s="12" t="s">
        <v>599</v>
      </c>
      <c r="C80" s="12"/>
      <c r="D80" s="12"/>
      <c r="E80" s="12" t="s">
        <v>701</v>
      </c>
      <c r="F80" s="12" t="s">
        <v>701</v>
      </c>
      <c r="G80" s="12" t="s">
        <v>701</v>
      </c>
      <c r="H80" s="12"/>
      <c r="I80" s="12" t="s">
        <v>701</v>
      </c>
      <c r="J80" s="12"/>
      <c r="K80" s="12"/>
      <c r="L80" s="12"/>
      <c r="M80" s="12" t="s">
        <v>701</v>
      </c>
      <c r="N80" s="12"/>
      <c r="O80" s="12" t="s">
        <v>701</v>
      </c>
      <c r="P80" s="12"/>
      <c r="Q80" s="12" t="s">
        <v>701</v>
      </c>
      <c r="R80" s="12"/>
      <c r="S80" s="12"/>
      <c r="T80" s="12"/>
      <c r="U80" s="12"/>
      <c r="V80" s="12"/>
      <c r="W80" s="12" t="s">
        <v>701</v>
      </c>
      <c r="X80" s="12"/>
      <c r="Y80" s="12" t="s">
        <v>701</v>
      </c>
      <c r="Z80" s="12" t="s">
        <v>701</v>
      </c>
      <c r="AA80" s="12"/>
      <c r="AB80" s="12"/>
      <c r="AC80" s="12" t="str" cm="1">
        <f t="array" ref="AC80">IF(OR(NOT(ISBLANK(AG8x)), NOT(ISBLANK(AH8x)), NOT(ISBLANK(AR8x)), NOT(ISBLANK(AO8x))), "x", "")</f>
        <v>x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</row>
    <row r="81" spans="1:43" ht="13.5">
      <c r="A81" s="11" t="s">
        <v>99</v>
      </c>
      <c r="B81" s="12" t="s">
        <v>606</v>
      </c>
      <c r="C81" s="12"/>
      <c r="D81" s="12"/>
      <c r="E81" s="12" t="s">
        <v>701</v>
      </c>
      <c r="F81" s="12"/>
      <c r="G81" s="12"/>
      <c r="H81" s="12" t="s">
        <v>701</v>
      </c>
      <c r="I81" s="12"/>
      <c r="J81" s="12" t="s">
        <v>701</v>
      </c>
      <c r="K81" s="12"/>
      <c r="L81" s="12"/>
      <c r="M81" s="12" t="s">
        <v>701</v>
      </c>
      <c r="N81" s="12"/>
      <c r="O81" s="12"/>
      <c r="P81" s="12"/>
      <c r="Q81" s="12" t="s">
        <v>701</v>
      </c>
      <c r="R81" s="12"/>
      <c r="S81" s="12"/>
      <c r="T81" s="12"/>
      <c r="U81" s="12"/>
      <c r="V81" s="12"/>
      <c r="W81" s="12"/>
      <c r="X81" s="12"/>
      <c r="Y81" s="12"/>
      <c r="Z81" s="12"/>
      <c r="AA81" s="12" t="s">
        <v>701</v>
      </c>
      <c r="AB81" s="12" t="s">
        <v>701</v>
      </c>
      <c r="AC81" s="12" t="str">
        <f>IF(OR(NOT(ISBLANK(AF81)), NOT(ISBLANK(AG81)), NOT(ISBLANK(AQ81)), NOT(ISBLANK(AN81))), "x", "")</f>
        <v/>
      </c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spans="1:43" ht="13.5">
      <c r="A82" s="11" t="s">
        <v>100</v>
      </c>
      <c r="B82" s="12" t="s">
        <v>594</v>
      </c>
      <c r="C82" s="12"/>
      <c r="D82" s="12"/>
      <c r="E82" s="12"/>
      <c r="F82" s="12" t="s">
        <v>701</v>
      </c>
      <c r="G82" s="12" t="s">
        <v>701</v>
      </c>
      <c r="H82" s="12" t="s">
        <v>701</v>
      </c>
      <c r="I82" s="12"/>
      <c r="J82" s="12"/>
      <c r="K82" s="12"/>
      <c r="L82" s="12"/>
      <c r="M82" s="12"/>
      <c r="N82" s="12"/>
      <c r="O82" s="12"/>
      <c r="P82" s="12"/>
      <c r="Q82" s="12" t="s">
        <v>701</v>
      </c>
      <c r="R82" s="12"/>
      <c r="S82" s="12" t="s">
        <v>701</v>
      </c>
      <c r="T82" s="12"/>
      <c r="U82" s="12" t="s">
        <v>701</v>
      </c>
      <c r="V82" s="12" t="s">
        <v>701</v>
      </c>
      <c r="W82" s="12"/>
      <c r="X82" s="12"/>
      <c r="Y82" s="12" t="s">
        <v>701</v>
      </c>
      <c r="Z82" s="12"/>
      <c r="AA82" s="12"/>
      <c r="AB82" s="12" t="s">
        <v>701</v>
      </c>
      <c r="AC82" s="12" t="str">
        <f>IF(OR(NOT(ISBLANK(AF82)), NOT(ISBLANK(AG82)), NOT(ISBLANK(AQ82)), NOT(ISBLANK(AN82))), "x", "")</f>
        <v/>
      </c>
      <c r="AD82" s="12" t="s">
        <v>701</v>
      </c>
      <c r="AE82" s="12"/>
      <c r="AF82" s="12"/>
      <c r="AG82" s="12"/>
      <c r="AH82" s="12"/>
      <c r="AI82" s="12"/>
      <c r="AJ82" s="12"/>
      <c r="AK82" s="12"/>
      <c r="AL82" s="12"/>
      <c r="AM82" s="12" t="s">
        <v>701</v>
      </c>
      <c r="AN82" s="12"/>
      <c r="AO82" s="12" t="s">
        <v>701</v>
      </c>
      <c r="AP82" s="12" t="s">
        <v>701</v>
      </c>
      <c r="AQ82" s="12"/>
    </row>
    <row r="83" spans="1:43" ht="13.5">
      <c r="A83" s="11" t="s">
        <v>101</v>
      </c>
      <c r="B83" s="12" t="s">
        <v>601</v>
      </c>
      <c r="C83" s="12"/>
      <c r="D83" s="12" t="s">
        <v>701</v>
      </c>
      <c r="E83" s="12"/>
      <c r="F83" s="12"/>
      <c r="G83" s="12" t="s">
        <v>701</v>
      </c>
      <c r="H83" s="12"/>
      <c r="I83" s="12" t="s">
        <v>701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 t="s">
        <v>701</v>
      </c>
      <c r="AB83" s="12" t="s">
        <v>701</v>
      </c>
      <c r="AC83" s="12" t="str">
        <f>IF(OR(NOT(ISBLANK(AF83)), NOT(ISBLANK(AG83)), NOT(ISBLANK(AQ83)), NOT(ISBLANK(AN83))), "x", "")</f>
        <v/>
      </c>
      <c r="AD83" s="12" t="s">
        <v>701</v>
      </c>
      <c r="AE83" s="12"/>
      <c r="AF83" s="12"/>
      <c r="AG83" s="12"/>
      <c r="AH83" s="12"/>
      <c r="AI83" s="12"/>
      <c r="AJ83" s="12"/>
      <c r="AK83" s="12"/>
      <c r="AL83" s="12"/>
      <c r="AM83" s="12" t="s">
        <v>701</v>
      </c>
      <c r="AN83" s="12"/>
      <c r="AO83" s="12" t="s">
        <v>701</v>
      </c>
      <c r="AP83" s="12" t="s">
        <v>701</v>
      </c>
      <c r="AQ83" s="12"/>
    </row>
    <row r="84" spans="1:43" ht="13.5">
      <c r="A84" s="11" t="s">
        <v>102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 t="str">
        <f>IF(OR(NOT(ISBLANK(AF84)), NOT(ISBLANK(AG84)), NOT(ISBLANK(AQ84)), NOT(ISBLANK(AN84))), "x", "")</f>
        <v/>
      </c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 spans="1:43" ht="13.5">
      <c r="A85" s="11" t="s">
        <v>103</v>
      </c>
      <c r="B85" s="12" t="s">
        <v>587</v>
      </c>
      <c r="C85" s="12"/>
      <c r="D85" s="12" t="s">
        <v>701</v>
      </c>
      <c r="E85" s="12"/>
      <c r="F85" s="12" t="s">
        <v>701</v>
      </c>
      <c r="G85" s="12" t="s">
        <v>701</v>
      </c>
      <c r="H85" s="12" t="s">
        <v>701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 t="s">
        <v>701</v>
      </c>
      <c r="T85" s="12"/>
      <c r="U85" s="12"/>
      <c r="V85" s="12"/>
      <c r="W85" s="12" t="s">
        <v>701</v>
      </c>
      <c r="X85" s="12"/>
      <c r="Y85" s="12"/>
      <c r="Z85" s="12"/>
      <c r="AA85" s="12"/>
      <c r="AB85" s="12"/>
      <c r="AC85" s="12" t="str">
        <f>IF(OR(NOT(ISBLANK(AF85)), NOT(ISBLANK(AG85)), NOT(ISBLANK(AQ85)), NOT(ISBLANK(AN85))), "x", "")</f>
        <v/>
      </c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 spans="1:43" ht="13.5">
      <c r="A86" s="11" t="s">
        <v>104</v>
      </c>
      <c r="B86" s="12" t="s">
        <v>588</v>
      </c>
      <c r="C86" s="12" t="s">
        <v>701</v>
      </c>
      <c r="D86" s="12" t="s">
        <v>701</v>
      </c>
      <c r="E86" s="12"/>
      <c r="F86" s="12"/>
      <c r="G86" s="12" t="s">
        <v>701</v>
      </c>
      <c r="H86" s="12"/>
      <c r="I86" s="12" t="s">
        <v>701</v>
      </c>
      <c r="J86" s="12"/>
      <c r="K86" s="12"/>
      <c r="L86" s="12"/>
      <c r="M86" s="12"/>
      <c r="N86" s="12"/>
      <c r="O86" s="12" t="s">
        <v>701</v>
      </c>
      <c r="P86" s="12"/>
      <c r="Q86" s="12"/>
      <c r="R86" s="12"/>
      <c r="S86" s="12"/>
      <c r="T86" s="12"/>
      <c r="U86" s="12"/>
      <c r="V86" s="12" t="s">
        <v>701</v>
      </c>
      <c r="W86" s="12" t="s">
        <v>701</v>
      </c>
      <c r="X86" s="12" t="s">
        <v>701</v>
      </c>
      <c r="Y86" s="12" t="s">
        <v>701</v>
      </c>
      <c r="Z86" s="12" t="s">
        <v>701</v>
      </c>
      <c r="AA86" s="12" t="s">
        <v>701</v>
      </c>
      <c r="AB86" s="12" t="s">
        <v>701</v>
      </c>
      <c r="AC86" s="12" t="str">
        <f>IF(OR(NOT(ISBLANK(AF86)), NOT(ISBLANK(AG86)), NOT(ISBLANK(AQ86)), NOT(ISBLANK(AN86))), "x", "")</f>
        <v/>
      </c>
      <c r="AD86" s="12" t="s">
        <v>701</v>
      </c>
      <c r="AE86" s="12"/>
      <c r="AF86" s="12"/>
      <c r="AG86" s="12"/>
      <c r="AH86" s="12"/>
      <c r="AI86" s="12"/>
      <c r="AJ86" s="12"/>
      <c r="AK86" s="12"/>
      <c r="AL86" s="12"/>
      <c r="AM86" s="12" t="s">
        <v>701</v>
      </c>
      <c r="AN86" s="12"/>
      <c r="AO86" s="12"/>
      <c r="AP86" s="12"/>
      <c r="AQ86" s="12"/>
    </row>
    <row r="87" spans="1:43" ht="13.5">
      <c r="A87" s="11" t="s">
        <v>105</v>
      </c>
      <c r="B87" s="12" t="s">
        <v>602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 t="str">
        <f>IF(OR(NOT(ISBLANK(AF87)), NOT(ISBLANK(AG87)), NOT(ISBLANK(AQ87)), NOT(ISBLANK(AN87))), "x", "")</f>
        <v/>
      </c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</row>
    <row r="88" spans="1:43" ht="13.5">
      <c r="A88" s="11" t="s">
        <v>106</v>
      </c>
      <c r="B88" s="12" t="s">
        <v>590</v>
      </c>
      <c r="C88" s="12" t="s">
        <v>701</v>
      </c>
      <c r="D88" s="12"/>
      <c r="E88" s="12"/>
      <c r="F88" s="12"/>
      <c r="G88" s="12" t="s">
        <v>701</v>
      </c>
      <c r="H88" s="12" t="s">
        <v>701</v>
      </c>
      <c r="I88" s="12"/>
      <c r="J88" s="12" t="s">
        <v>701</v>
      </c>
      <c r="K88" s="12"/>
      <c r="L88" s="12"/>
      <c r="M88" s="12"/>
      <c r="N88" s="12"/>
      <c r="O88" s="12"/>
      <c r="P88" s="12"/>
      <c r="Q88" s="12" t="s">
        <v>701</v>
      </c>
      <c r="R88" s="12"/>
      <c r="S88" s="12" t="s">
        <v>701</v>
      </c>
      <c r="T88" s="12"/>
      <c r="U88" s="12"/>
      <c r="V88" s="12"/>
      <c r="W88" s="12" t="s">
        <v>701</v>
      </c>
      <c r="X88" s="12"/>
      <c r="Y88" s="12" t="s">
        <v>701</v>
      </c>
      <c r="Z88" s="12"/>
      <c r="AA88" s="12" t="s">
        <v>701</v>
      </c>
      <c r="AB88" s="12"/>
      <c r="AC88" s="12" t="str">
        <f>IF(OR(NOT(ISBLANK(AF88)), NOT(ISBLANK(AG88)), NOT(ISBLANK(AQ88)), NOT(ISBLANK(AN88))), "x", "")</f>
        <v/>
      </c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</row>
    <row r="89" spans="1:43" ht="13.5">
      <c r="A89" s="11" t="s">
        <v>107</v>
      </c>
      <c r="B89" s="12" t="s">
        <v>603</v>
      </c>
      <c r="C89" s="12" t="s">
        <v>701</v>
      </c>
      <c r="D89" s="12" t="s">
        <v>701</v>
      </c>
      <c r="E89" s="12"/>
      <c r="F89" s="12"/>
      <c r="G89" s="12" t="s">
        <v>701</v>
      </c>
      <c r="H89" s="12"/>
      <c r="I89" s="12"/>
      <c r="J89" s="12"/>
      <c r="K89" s="12" t="s">
        <v>701</v>
      </c>
      <c r="L89" s="12" t="s">
        <v>701</v>
      </c>
      <c r="M89" s="12" t="s">
        <v>701</v>
      </c>
      <c r="N89" s="12" t="s">
        <v>701</v>
      </c>
      <c r="O89" s="12"/>
      <c r="P89" s="12"/>
      <c r="Q89" s="12"/>
      <c r="R89" s="12"/>
      <c r="S89" s="12"/>
      <c r="T89" s="12" t="s">
        <v>701</v>
      </c>
      <c r="U89" s="12"/>
      <c r="V89" s="12"/>
      <c r="W89" s="12" t="s">
        <v>701</v>
      </c>
      <c r="X89" s="12"/>
      <c r="Y89" s="12" t="s">
        <v>701</v>
      </c>
      <c r="Z89" s="12"/>
      <c r="AA89" s="12" t="s">
        <v>701</v>
      </c>
      <c r="AB89" s="12" t="s">
        <v>701</v>
      </c>
      <c r="AC89" s="12" t="str">
        <f>IF(OR(NOT(ISBLANK(AF89)), NOT(ISBLANK(AG89)), NOT(ISBLANK(AQ89)), NOT(ISBLANK(AN89))), "x", "")</f>
        <v/>
      </c>
      <c r="AD89" s="12"/>
      <c r="AE89" s="12"/>
      <c r="AF89" s="12"/>
      <c r="AG89" s="12"/>
      <c r="AH89" s="12"/>
      <c r="AI89" s="12" t="s">
        <v>701</v>
      </c>
      <c r="AJ89" s="12" t="s">
        <v>701</v>
      </c>
      <c r="AK89" s="12"/>
      <c r="AL89" s="12" t="s">
        <v>701</v>
      </c>
      <c r="AM89" s="12"/>
      <c r="AN89" s="12"/>
      <c r="AO89" s="12"/>
      <c r="AP89" s="12"/>
      <c r="AQ89" s="12"/>
    </row>
    <row r="90" spans="1:43" ht="13.5">
      <c r="A90" s="11" t="s">
        <v>108</v>
      </c>
      <c r="B90" s="12" t="s">
        <v>606</v>
      </c>
      <c r="C90" s="12" t="s">
        <v>701</v>
      </c>
      <c r="D90" s="12" t="s">
        <v>701</v>
      </c>
      <c r="E90" s="12"/>
      <c r="F90" s="12"/>
      <c r="G90" s="12"/>
      <c r="H90" s="12" t="s">
        <v>701</v>
      </c>
      <c r="I90" s="12"/>
      <c r="J90" s="12"/>
      <c r="K90" s="12" t="s">
        <v>701</v>
      </c>
      <c r="L90" s="12"/>
      <c r="M90" s="12" t="s">
        <v>701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 t="str" cm="1">
        <f t="array" ref="AC90">IF(OR(NOT(ISBLANK(AG9x)), NOT(ISBLANK(AH9x)), NOT(ISBLANK(AR9x)), NOT(ISBLANK(AO9x))), "x", "")</f>
        <v>x</v>
      </c>
      <c r="AD90" s="12" t="s">
        <v>701</v>
      </c>
      <c r="AE90" s="12"/>
      <c r="AF90" s="12"/>
      <c r="AG90" s="12"/>
      <c r="AH90" s="12"/>
      <c r="AI90" s="12" t="s">
        <v>701</v>
      </c>
      <c r="AJ90" s="12"/>
      <c r="AK90" s="12"/>
      <c r="AL90" s="12" t="s">
        <v>701</v>
      </c>
      <c r="AM90" s="12"/>
      <c r="AN90" s="12"/>
      <c r="AO90" s="12"/>
      <c r="AP90" s="12"/>
      <c r="AQ90" s="12"/>
    </row>
    <row r="91" spans="1:43" ht="13.5">
      <c r="A91" s="11" t="s">
        <v>109</v>
      </c>
      <c r="B91" s="12" t="s">
        <v>589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 t="str">
        <f>IF(OR(NOT(ISBLANK(AF91)), NOT(ISBLANK(AG91)), NOT(ISBLANK(AQ91)), NOT(ISBLANK(AN91))), "x", "")</f>
        <v/>
      </c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 spans="1:43" ht="13.5">
      <c r="A92" s="11" t="s">
        <v>110</v>
      </c>
      <c r="B92" s="12" t="s">
        <v>589</v>
      </c>
      <c r="C92" s="12" t="s">
        <v>701</v>
      </c>
      <c r="D92" s="12" t="s">
        <v>701</v>
      </c>
      <c r="E92" s="12"/>
      <c r="F92" s="12"/>
      <c r="G92" s="12" t="s">
        <v>701</v>
      </c>
      <c r="H92" s="12" t="s">
        <v>701</v>
      </c>
      <c r="I92" s="12" t="s">
        <v>701</v>
      </c>
      <c r="J92" s="12"/>
      <c r="K92" s="12"/>
      <c r="L92" s="12"/>
      <c r="M92" s="12"/>
      <c r="N92" s="12"/>
      <c r="O92" s="12" t="s">
        <v>701</v>
      </c>
      <c r="P92" s="12"/>
      <c r="Q92" s="12" t="s">
        <v>701</v>
      </c>
      <c r="R92" s="12"/>
      <c r="S92" s="12" t="s">
        <v>701</v>
      </c>
      <c r="T92" s="12"/>
      <c r="U92" s="12"/>
      <c r="V92" s="12" t="s">
        <v>701</v>
      </c>
      <c r="W92" s="12" t="s">
        <v>701</v>
      </c>
      <c r="X92" s="12" t="s">
        <v>701</v>
      </c>
      <c r="Y92" s="12" t="s">
        <v>701</v>
      </c>
      <c r="Z92" s="12" t="s">
        <v>701</v>
      </c>
      <c r="AA92" s="12"/>
      <c r="AB92" s="12"/>
      <c r="AC92" s="12" t="str">
        <f>IF(OR(NOT(ISBLANK(AF92)), NOT(ISBLANK(AG92)), NOT(ISBLANK(AQ92)), NOT(ISBLANK(AN92))), "x", "")</f>
        <v/>
      </c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</row>
    <row r="93" spans="1:43" ht="13.5">
      <c r="A93" s="11" t="s">
        <v>111</v>
      </c>
      <c r="B93" s="12" t="s">
        <v>588</v>
      </c>
      <c r="C93" s="12" t="s">
        <v>701</v>
      </c>
      <c r="D93" s="12" t="s">
        <v>701</v>
      </c>
      <c r="E93" s="12"/>
      <c r="F93" s="12" t="s">
        <v>701</v>
      </c>
      <c r="G93" s="12"/>
      <c r="H93" s="12" t="s">
        <v>701</v>
      </c>
      <c r="I93" s="12" t="s">
        <v>701</v>
      </c>
      <c r="J93" s="12"/>
      <c r="K93" s="12"/>
      <c r="L93" s="12"/>
      <c r="M93" s="12" t="s">
        <v>701</v>
      </c>
      <c r="N93" s="12"/>
      <c r="O93" s="12" t="s">
        <v>701</v>
      </c>
      <c r="P93" s="12"/>
      <c r="Q93" s="12" t="s">
        <v>701</v>
      </c>
      <c r="R93" s="12"/>
      <c r="S93" s="12"/>
      <c r="T93" s="12"/>
      <c r="U93" s="12"/>
      <c r="V93" s="12"/>
      <c r="W93" s="12"/>
      <c r="X93" s="12"/>
      <c r="Y93" s="12"/>
      <c r="Z93" s="12" t="s">
        <v>701</v>
      </c>
      <c r="AA93" s="12"/>
      <c r="AB93" s="12"/>
      <c r="AC93" s="12" t="str">
        <f>IF(OR(NOT(ISBLANK(AF93)), NOT(ISBLANK(AG93)), NOT(ISBLANK(AQ93)), NOT(ISBLANK(AN93))), "x", "")</f>
        <v/>
      </c>
      <c r="AD93" s="12" t="s">
        <v>701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</row>
    <row r="94" spans="1:43" ht="13.5">
      <c r="A94" s="11" t="s">
        <v>112</v>
      </c>
      <c r="B94" s="12" t="s">
        <v>589</v>
      </c>
      <c r="C94" s="12" t="s">
        <v>701</v>
      </c>
      <c r="D94" s="12"/>
      <c r="E94" s="12"/>
      <c r="F94" s="12" t="s">
        <v>701</v>
      </c>
      <c r="G94" s="12" t="s">
        <v>701</v>
      </c>
      <c r="H94" s="12" t="s">
        <v>701</v>
      </c>
      <c r="I94" s="12" t="s">
        <v>701</v>
      </c>
      <c r="J94" s="12" t="s">
        <v>701</v>
      </c>
      <c r="K94" s="12"/>
      <c r="L94" s="12"/>
      <c r="M94" s="12" t="s">
        <v>701</v>
      </c>
      <c r="N94" s="12"/>
      <c r="O94" s="12" t="s">
        <v>701</v>
      </c>
      <c r="P94" s="12"/>
      <c r="Q94" s="12" t="s">
        <v>701</v>
      </c>
      <c r="R94" s="12"/>
      <c r="S94" s="12" t="s">
        <v>701</v>
      </c>
      <c r="T94" s="12"/>
      <c r="U94" s="12" t="s">
        <v>701</v>
      </c>
      <c r="V94" s="12" t="s">
        <v>701</v>
      </c>
      <c r="W94" s="12" t="s">
        <v>701</v>
      </c>
      <c r="X94" s="12"/>
      <c r="Y94" s="12" t="s">
        <v>701</v>
      </c>
      <c r="Z94" s="12" t="s">
        <v>701</v>
      </c>
      <c r="AA94" s="12" t="s">
        <v>701</v>
      </c>
      <c r="AB94" s="12"/>
      <c r="AC94" s="12" t="str">
        <f>IF(OR(NOT(ISBLANK(AF94)), NOT(ISBLANK(AG94)), NOT(ISBLANK(AQ94)), NOT(ISBLANK(AN94))), "x", "")</f>
        <v/>
      </c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spans="1:43" ht="13.5">
      <c r="A95" s="11" t="s">
        <v>113</v>
      </c>
      <c r="B95" s="12" t="s">
        <v>604</v>
      </c>
      <c r="C95" s="12" t="s">
        <v>701</v>
      </c>
      <c r="D95" s="12"/>
      <c r="E95" s="12"/>
      <c r="F95" s="12"/>
      <c r="G95" s="12" t="s">
        <v>701</v>
      </c>
      <c r="H95" s="12" t="s">
        <v>701</v>
      </c>
      <c r="I95" s="12" t="s">
        <v>701</v>
      </c>
      <c r="J95" s="12"/>
      <c r="K95" s="12"/>
      <c r="L95" s="12"/>
      <c r="M95" s="12"/>
      <c r="N95" s="12"/>
      <c r="O95" s="12" t="s">
        <v>701</v>
      </c>
      <c r="P95" s="12"/>
      <c r="Q95" s="12" t="s">
        <v>701</v>
      </c>
      <c r="R95" s="12"/>
      <c r="S95" s="12"/>
      <c r="T95" s="12"/>
      <c r="U95" s="12"/>
      <c r="V95" s="12"/>
      <c r="W95" s="12" t="s">
        <v>701</v>
      </c>
      <c r="X95" s="12"/>
      <c r="Y95" s="12"/>
      <c r="Z95" s="12"/>
      <c r="AA95" s="12"/>
      <c r="AB95" s="12"/>
      <c r="AC95" s="12" t="str">
        <f>IF(OR(NOT(ISBLANK(AF95)), NOT(ISBLANK(AG95)), NOT(ISBLANK(AQ95)), NOT(ISBLANK(AN95))), "x", "")</f>
        <v/>
      </c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spans="1:43" ht="13.5">
      <c r="A96" s="11" t="s">
        <v>114</v>
      </c>
      <c r="B96" s="12" t="s">
        <v>600</v>
      </c>
      <c r="C96" s="12" t="s">
        <v>701</v>
      </c>
      <c r="D96" s="12" t="s">
        <v>701</v>
      </c>
      <c r="E96" s="12"/>
      <c r="F96" s="12"/>
      <c r="G96" s="12" t="s">
        <v>701</v>
      </c>
      <c r="H96" s="12" t="s">
        <v>701</v>
      </c>
      <c r="I96" s="12"/>
      <c r="J96" s="12"/>
      <c r="K96" s="12"/>
      <c r="L96" s="12"/>
      <c r="M96" s="12"/>
      <c r="N96" s="12"/>
      <c r="O96" s="12"/>
      <c r="P96" s="12"/>
      <c r="Q96" s="12" t="s">
        <v>701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 t="str">
        <f>IF(OR(NOT(ISBLANK(AF96)), NOT(ISBLANK(AG96)), NOT(ISBLANK(AQ96)), NOT(ISBLANK(AN96))), "x", "")</f>
        <v/>
      </c>
      <c r="AD96" s="12"/>
      <c r="AE96" s="12"/>
      <c r="AF96" s="12"/>
      <c r="AG96" s="12"/>
      <c r="AH96" s="12"/>
      <c r="AI96" s="12" t="s">
        <v>701</v>
      </c>
      <c r="AJ96" s="12"/>
      <c r="AK96" s="12"/>
      <c r="AL96" s="12"/>
      <c r="AM96" s="12"/>
      <c r="AN96" s="12"/>
      <c r="AO96" s="12"/>
      <c r="AP96" s="12"/>
      <c r="AQ96" s="12"/>
    </row>
    <row r="97" spans="1:43" ht="13.5">
      <c r="A97" s="11" t="s">
        <v>115</v>
      </c>
      <c r="B97" s="12" t="s">
        <v>591</v>
      </c>
      <c r="C97" s="12" t="s">
        <v>701</v>
      </c>
      <c r="D97" s="12"/>
      <c r="E97" s="12"/>
      <c r="F97" s="12"/>
      <c r="G97" s="12" t="s">
        <v>701</v>
      </c>
      <c r="H97" s="12" t="s">
        <v>701</v>
      </c>
      <c r="I97" s="12"/>
      <c r="J97" s="12"/>
      <c r="K97" s="12"/>
      <c r="L97" s="12"/>
      <c r="M97" s="12"/>
      <c r="N97" s="12"/>
      <c r="O97" s="12"/>
      <c r="P97" s="12"/>
      <c r="Q97" s="12" t="s">
        <v>701</v>
      </c>
      <c r="R97" s="12"/>
      <c r="S97" s="12"/>
      <c r="T97" s="12"/>
      <c r="U97" s="12"/>
      <c r="V97" s="12"/>
      <c r="W97" s="12"/>
      <c r="X97" s="12"/>
      <c r="Y97" s="12"/>
      <c r="Z97" s="12"/>
      <c r="AA97" s="12" t="s">
        <v>701</v>
      </c>
      <c r="AB97" s="12"/>
      <c r="AC97" s="12" t="str">
        <f>IF(OR(NOT(ISBLANK(AF97)), NOT(ISBLANK(AG97)), NOT(ISBLANK(AQ97)), NOT(ISBLANK(AN97))), "x", "")</f>
        <v>x</v>
      </c>
      <c r="AD97" s="12" t="s">
        <v>701</v>
      </c>
      <c r="AE97" s="12"/>
      <c r="AF97" s="12" t="s">
        <v>701</v>
      </c>
      <c r="AG97" s="12"/>
      <c r="AH97" s="12" t="s">
        <v>701</v>
      </c>
      <c r="AI97" s="12"/>
      <c r="AJ97" s="12"/>
      <c r="AK97" s="12"/>
      <c r="AL97" s="12"/>
      <c r="AM97" s="12"/>
      <c r="AN97" s="12"/>
      <c r="AO97" s="12"/>
      <c r="AP97" s="12"/>
      <c r="AQ97" s="12"/>
    </row>
    <row r="98" spans="1:43" ht="13.5">
      <c r="A98" s="11" t="s">
        <v>116</v>
      </c>
      <c r="B98" s="12" t="s">
        <v>589</v>
      </c>
      <c r="C98" s="12" t="s">
        <v>701</v>
      </c>
      <c r="D98" s="12"/>
      <c r="E98" s="12"/>
      <c r="F98" s="12"/>
      <c r="G98" s="12" t="s">
        <v>701</v>
      </c>
      <c r="H98" s="12" t="s">
        <v>701</v>
      </c>
      <c r="I98" s="12"/>
      <c r="J98" s="12"/>
      <c r="K98" s="12"/>
      <c r="L98" s="12"/>
      <c r="M98" s="12"/>
      <c r="N98" s="12"/>
      <c r="O98" s="12"/>
      <c r="P98" s="12"/>
      <c r="Q98" s="12" t="s">
        <v>701</v>
      </c>
      <c r="R98" s="12"/>
      <c r="S98" s="12" t="s">
        <v>701</v>
      </c>
      <c r="T98" s="12" t="s">
        <v>701</v>
      </c>
      <c r="U98" s="12" t="s">
        <v>701</v>
      </c>
      <c r="V98" s="12"/>
      <c r="W98" s="12"/>
      <c r="X98" s="12"/>
      <c r="Y98" s="12"/>
      <c r="Z98" s="12"/>
      <c r="AA98" s="12"/>
      <c r="AB98" s="12"/>
      <c r="AC98" s="12" t="str">
        <f>IF(OR(NOT(ISBLANK(AF98)), NOT(ISBLANK(AG98)), NOT(ISBLANK(AQ98)), NOT(ISBLANK(AN98))), "x", "")</f>
        <v/>
      </c>
      <c r="AD98" s="12"/>
      <c r="AE98" s="12"/>
      <c r="AF98" s="12"/>
      <c r="AG98" s="12"/>
      <c r="AH98" s="12"/>
      <c r="AI98" s="12" t="s">
        <v>701</v>
      </c>
      <c r="AJ98" s="12"/>
      <c r="AK98" s="12"/>
      <c r="AL98" s="12"/>
      <c r="AM98" s="12"/>
      <c r="AN98" s="12"/>
      <c r="AO98" s="12"/>
      <c r="AP98" s="12"/>
      <c r="AQ98" s="12"/>
    </row>
    <row r="99" spans="1:43" ht="13.5">
      <c r="A99" s="11" t="s">
        <v>117</v>
      </c>
      <c r="B99" s="12" t="s">
        <v>589</v>
      </c>
      <c r="C99" s="12" t="s">
        <v>701</v>
      </c>
      <c r="D99" s="12"/>
      <c r="E99" s="12"/>
      <c r="F99" s="12"/>
      <c r="G99" s="12" t="s">
        <v>701</v>
      </c>
      <c r="H99" s="12" t="s">
        <v>701</v>
      </c>
      <c r="I99" s="12" t="s">
        <v>701</v>
      </c>
      <c r="J99" s="12"/>
      <c r="K99" s="12"/>
      <c r="L99" s="12"/>
      <c r="M99" s="12"/>
      <c r="N99" s="12"/>
      <c r="O99" s="12" t="s">
        <v>701</v>
      </c>
      <c r="P99" s="12"/>
      <c r="Q99" s="12" t="s">
        <v>701</v>
      </c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 t="str">
        <f>IF(OR(NOT(ISBLANK(AF99)), NOT(ISBLANK(AG99)), NOT(ISBLANK(AQ99)), NOT(ISBLANK(AN99))), "x", "")</f>
        <v/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spans="1:43" ht="13.5">
      <c r="A100" s="11" t="s">
        <v>118</v>
      </c>
      <c r="B100" s="12" t="s">
        <v>589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 t="str" cm="1">
        <f t="array" ref="AC100">IF(OR(NOT(ISBLANK(AG1xx)), NOT(ISBLANK(AH1xx)), NOT(ISBLANK(AR1xx)), NOT(ISBLANK(AO1xx))), "x", "")</f>
        <v>x</v>
      </c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spans="1:43" ht="13.5">
      <c r="A101" s="11" t="s">
        <v>119</v>
      </c>
      <c r="B101" s="12" t="s">
        <v>589</v>
      </c>
      <c r="C101" s="12" t="s">
        <v>701</v>
      </c>
      <c r="D101" s="12"/>
      <c r="E101" s="12"/>
      <c r="F101" s="12"/>
      <c r="G101" s="12" t="s">
        <v>701</v>
      </c>
      <c r="H101" s="12" t="s">
        <v>701</v>
      </c>
      <c r="I101" s="12" t="s">
        <v>701</v>
      </c>
      <c r="J101" s="12"/>
      <c r="K101" s="12"/>
      <c r="L101" s="12"/>
      <c r="M101" s="12"/>
      <c r="N101" s="12"/>
      <c r="O101" s="12" t="s">
        <v>701</v>
      </c>
      <c r="P101" s="12"/>
      <c r="Q101" s="12" t="s">
        <v>701</v>
      </c>
      <c r="R101" s="12"/>
      <c r="S101" s="12" t="s">
        <v>701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 t="str" cm="1">
        <f t="array" ref="AC101">IF(OR(NOT(ISBLANK(AG1x1)), NOT(ISBLANK(AH1x1)), NOT(ISBLANK(AR1x1)), NOT(ISBLANK(AO1x1))), "x", "")</f>
        <v>x</v>
      </c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spans="1:43" ht="13.5">
      <c r="A102" s="11" t="s">
        <v>120</v>
      </c>
      <c r="B102" s="12" t="s">
        <v>589</v>
      </c>
      <c r="C102" s="12" t="s">
        <v>701</v>
      </c>
      <c r="D102" s="12"/>
      <c r="E102" s="12"/>
      <c r="F102" s="12" t="s">
        <v>701</v>
      </c>
      <c r="G102" s="12" t="s">
        <v>701</v>
      </c>
      <c r="H102" s="12" t="s">
        <v>701</v>
      </c>
      <c r="I102" s="12" t="s">
        <v>701</v>
      </c>
      <c r="J102" s="12" t="s">
        <v>701</v>
      </c>
      <c r="K102" s="12"/>
      <c r="L102" s="12"/>
      <c r="M102" s="12" t="s">
        <v>701</v>
      </c>
      <c r="N102" s="12"/>
      <c r="O102" s="12" t="s">
        <v>701</v>
      </c>
      <c r="P102" s="12"/>
      <c r="Q102" s="12" t="s">
        <v>701</v>
      </c>
      <c r="R102" s="12"/>
      <c r="S102" s="12" t="s">
        <v>701</v>
      </c>
      <c r="T102" s="12"/>
      <c r="U102" s="12" t="s">
        <v>701</v>
      </c>
      <c r="V102" s="12" t="s">
        <v>701</v>
      </c>
      <c r="W102" s="12" t="s">
        <v>701</v>
      </c>
      <c r="X102" s="12" t="s">
        <v>701</v>
      </c>
      <c r="Y102" s="12" t="s">
        <v>701</v>
      </c>
      <c r="Z102" s="12" t="s">
        <v>701</v>
      </c>
      <c r="AA102" s="12" t="s">
        <v>701</v>
      </c>
      <c r="AB102" s="12"/>
      <c r="AC102" s="12" t="str" cm="1">
        <f t="array" ref="AC102">IF(OR(NOT(ISBLANK(AG1x2)), NOT(ISBLANK(AH1x2)), NOT(ISBLANK(AR1x2)), NOT(ISBLANK(AO1x2))), "x", "")</f>
        <v>x</v>
      </c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spans="1:43" ht="13.5">
      <c r="A103" s="11" t="s">
        <v>121</v>
      </c>
      <c r="B103" s="12" t="s">
        <v>589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 t="str" cm="1">
        <f t="array" ref="AC103">IF(OR(NOT(ISBLANK(AG1x3)), NOT(ISBLANK(AH1x3)), NOT(ISBLANK(AR1x3)), NOT(ISBLANK(AO1x3))), "x", "")</f>
        <v>x</v>
      </c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spans="1:43" ht="13.5">
      <c r="A104" s="11" t="s">
        <v>122</v>
      </c>
      <c r="B104" s="12" t="s">
        <v>589</v>
      </c>
      <c r="C104" s="12" t="s">
        <v>701</v>
      </c>
      <c r="D104" s="12" t="s">
        <v>701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 t="s">
        <v>701</v>
      </c>
      <c r="P104" s="12"/>
      <c r="Q104" s="12" t="s">
        <v>701</v>
      </c>
      <c r="R104" s="12"/>
      <c r="S104" s="12" t="s">
        <v>701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 t="str" cm="1">
        <f t="array" ref="AC104">IF(OR(NOT(ISBLANK(AG1x4)), NOT(ISBLANK(AH1x4)), NOT(ISBLANK(AR1x4)), NOT(ISBLANK(AO1x4))), "x", "")</f>
        <v>x</v>
      </c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spans="1:43" ht="13.5">
      <c r="A105" s="11" t="s">
        <v>123</v>
      </c>
      <c r="B105" s="12" t="s">
        <v>594</v>
      </c>
      <c r="C105" s="12" t="s">
        <v>701</v>
      </c>
      <c r="D105" s="12" t="s">
        <v>701</v>
      </c>
      <c r="E105" s="12"/>
      <c r="F105" s="12"/>
      <c r="G105" s="12" t="s">
        <v>701</v>
      </c>
      <c r="H105" s="12" t="s">
        <v>701</v>
      </c>
      <c r="I105" s="12" t="s">
        <v>701</v>
      </c>
      <c r="J105" s="12" t="s">
        <v>701</v>
      </c>
      <c r="K105" s="12"/>
      <c r="L105" s="12" t="s">
        <v>701</v>
      </c>
      <c r="M105" s="12"/>
      <c r="N105" s="12"/>
      <c r="O105" s="12" t="s">
        <v>701</v>
      </c>
      <c r="P105" s="12"/>
      <c r="Q105" s="12" t="s">
        <v>701</v>
      </c>
      <c r="R105" s="12"/>
      <c r="S105" s="12" t="s">
        <v>701</v>
      </c>
      <c r="T105" s="12"/>
      <c r="U105" s="12"/>
      <c r="V105" s="12" t="s">
        <v>701</v>
      </c>
      <c r="W105" s="12"/>
      <c r="X105" s="12"/>
      <c r="Y105" s="12" t="s">
        <v>701</v>
      </c>
      <c r="Z105" s="12"/>
      <c r="AA105" s="12" t="s">
        <v>701</v>
      </c>
      <c r="AB105" s="12" t="s">
        <v>701</v>
      </c>
      <c r="AC105" s="12" t="str" cm="1">
        <f t="array" ref="AC105">IF(OR(NOT(ISBLANK(AG1x5)), NOT(ISBLANK(AH1x5)), NOT(ISBLANK(AR1x5)), NOT(ISBLANK(AO1x5))), "x", "")</f>
        <v>x</v>
      </c>
      <c r="AD105" s="12" t="s">
        <v>701</v>
      </c>
      <c r="AE105" s="12"/>
      <c r="AF105" s="12"/>
      <c r="AG105" s="12"/>
      <c r="AH105" s="12"/>
      <c r="AI105" s="12" t="s">
        <v>701</v>
      </c>
      <c r="AJ105" s="12"/>
      <c r="AK105" s="12"/>
      <c r="AL105" s="12"/>
      <c r="AM105" s="12" t="s">
        <v>701</v>
      </c>
      <c r="AN105" s="12"/>
      <c r="AO105" s="12" t="s">
        <v>701</v>
      </c>
      <c r="AP105" s="12" t="s">
        <v>701</v>
      </c>
      <c r="AQ105" s="12"/>
    </row>
    <row r="106" spans="1:43" ht="13.5">
      <c r="A106" s="11" t="s">
        <v>124</v>
      </c>
      <c r="B106" s="12" t="s">
        <v>599</v>
      </c>
      <c r="C106" s="12" t="s">
        <v>701</v>
      </c>
      <c r="D106" s="12"/>
      <c r="E106" s="12"/>
      <c r="F106" s="12"/>
      <c r="G106" s="12" t="s">
        <v>701</v>
      </c>
      <c r="H106" s="12" t="s">
        <v>701</v>
      </c>
      <c r="I106" s="12" t="s">
        <v>701</v>
      </c>
      <c r="J106" s="12"/>
      <c r="K106" s="12"/>
      <c r="L106" s="12"/>
      <c r="M106" s="12"/>
      <c r="N106" s="12"/>
      <c r="O106" s="12" t="s">
        <v>701</v>
      </c>
      <c r="P106" s="12"/>
      <c r="Q106" s="12" t="s">
        <v>701</v>
      </c>
      <c r="R106" s="12"/>
      <c r="S106" s="12"/>
      <c r="T106" s="12"/>
      <c r="U106" s="12"/>
      <c r="V106" s="12" t="s">
        <v>701</v>
      </c>
      <c r="W106" s="12"/>
      <c r="X106" s="12"/>
      <c r="Y106" s="12"/>
      <c r="Z106" s="12"/>
      <c r="AA106" s="12"/>
      <c r="AB106" s="12"/>
      <c r="AC106" s="12" t="str" cm="1">
        <f t="array" ref="AC106">IF(OR(NOT(ISBLANK(AG1x6)), NOT(ISBLANK(AH1x6)), NOT(ISBLANK(AR1x6)), NOT(ISBLANK(AO1x6))), "x", "")</f>
        <v>x</v>
      </c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spans="1:43" ht="13.5">
      <c r="A107" s="11" t="s">
        <v>125</v>
      </c>
      <c r="B107" s="12" t="s">
        <v>589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 t="str" cm="1">
        <f t="array" ref="AC107">IF(OR(NOT(ISBLANK(AG1x7)), NOT(ISBLANK(AH1x7)), NOT(ISBLANK(AR1x7)), NOT(ISBLANK(AO1x7))), "x", "")</f>
        <v>x</v>
      </c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spans="1:43" ht="13.5">
      <c r="A108" s="11" t="s">
        <v>126</v>
      </c>
      <c r="B108" s="12" t="s">
        <v>599</v>
      </c>
      <c r="C108" s="12" t="s">
        <v>701</v>
      </c>
      <c r="D108" s="12"/>
      <c r="E108" s="12"/>
      <c r="F108" s="12" t="s">
        <v>701</v>
      </c>
      <c r="G108" s="12" t="s">
        <v>701</v>
      </c>
      <c r="H108" s="12" t="s">
        <v>701</v>
      </c>
      <c r="I108" s="12"/>
      <c r="J108" s="12"/>
      <c r="K108" s="12"/>
      <c r="L108" s="12"/>
      <c r="M108" s="12" t="s">
        <v>701</v>
      </c>
      <c r="N108" s="12"/>
      <c r="O108" s="12" t="s">
        <v>701</v>
      </c>
      <c r="P108" s="12"/>
      <c r="Q108" s="12" t="s">
        <v>701</v>
      </c>
      <c r="R108" s="12"/>
      <c r="S108" s="12"/>
      <c r="T108" s="12"/>
      <c r="U108" s="12"/>
      <c r="V108" s="12"/>
      <c r="W108" s="12" t="s">
        <v>701</v>
      </c>
      <c r="X108" s="12"/>
      <c r="Y108" s="12"/>
      <c r="Z108" s="12"/>
      <c r="AA108" s="12"/>
      <c r="AB108" s="12"/>
      <c r="AC108" s="12" t="str" cm="1">
        <f t="array" ref="AC108">IF(OR(NOT(ISBLANK(AG1x8)), NOT(ISBLANK(AH1x8)), NOT(ISBLANK(AR1x8)), NOT(ISBLANK(AO1x8))), "x", "")</f>
        <v>x</v>
      </c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spans="1:43" ht="13.5">
      <c r="A109" s="11" t="s">
        <v>127</v>
      </c>
      <c r="B109" s="12" t="s">
        <v>587</v>
      </c>
      <c r="C109" s="12" t="s">
        <v>701</v>
      </c>
      <c r="D109" s="12" t="s">
        <v>701</v>
      </c>
      <c r="E109" s="12"/>
      <c r="F109" s="12"/>
      <c r="G109" s="12" t="s">
        <v>701</v>
      </c>
      <c r="H109" s="12" t="s">
        <v>701</v>
      </c>
      <c r="I109" s="12" t="s">
        <v>701</v>
      </c>
      <c r="J109" s="12" t="s">
        <v>701</v>
      </c>
      <c r="K109" s="12"/>
      <c r="L109" s="12"/>
      <c r="M109" s="12"/>
      <c r="N109" s="12"/>
      <c r="O109" s="12" t="s">
        <v>701</v>
      </c>
      <c r="P109" s="12"/>
      <c r="Q109" s="12" t="s">
        <v>701</v>
      </c>
      <c r="R109" s="12"/>
      <c r="S109" s="12" t="s">
        <v>701</v>
      </c>
      <c r="T109" s="12" t="s">
        <v>701</v>
      </c>
      <c r="U109" s="12" t="s">
        <v>701</v>
      </c>
      <c r="V109" s="12" t="s">
        <v>701</v>
      </c>
      <c r="W109" s="12" t="s">
        <v>701</v>
      </c>
      <c r="X109" s="12"/>
      <c r="Y109" s="12"/>
      <c r="Z109" s="12"/>
      <c r="AA109" s="12" t="s">
        <v>701</v>
      </c>
      <c r="AB109" s="12" t="s">
        <v>701</v>
      </c>
      <c r="AC109" s="12" t="str" cm="1">
        <f t="array" ref="AC109">IF(OR(NOT(ISBLANK(AG1x9)), NOT(ISBLANK(AH1x9)), NOT(ISBLANK(AR1x9)), NOT(ISBLANK(AO1x9))), "x", "")</f>
        <v>x</v>
      </c>
      <c r="AD109" s="12" t="s">
        <v>701</v>
      </c>
      <c r="AE109" s="12"/>
      <c r="AF109" s="12"/>
      <c r="AG109" s="12"/>
      <c r="AH109" s="12"/>
      <c r="AI109" s="12" t="s">
        <v>701</v>
      </c>
      <c r="AJ109" s="12"/>
      <c r="AK109" s="12"/>
      <c r="AL109" s="12"/>
      <c r="AM109" s="12" t="s">
        <v>701</v>
      </c>
      <c r="AN109" s="12"/>
      <c r="AO109" s="12" t="s">
        <v>701</v>
      </c>
      <c r="AP109" s="12"/>
      <c r="AQ109" s="12"/>
    </row>
    <row r="110" spans="1:43" ht="13.5">
      <c r="A110" s="11" t="s">
        <v>128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 t="str" cm="1">
        <f t="array" ref="AC110">IF(OR(NOT(ISBLANK(AG11x)), NOT(ISBLANK(AH11x)), NOT(ISBLANK(AR11x)), NOT(ISBLANK(AO11x))), "x", "")</f>
        <v>x</v>
      </c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spans="1:43" ht="13.5">
      <c r="A111" s="11" t="s">
        <v>129</v>
      </c>
      <c r="B111" s="12" t="s">
        <v>587</v>
      </c>
      <c r="C111" s="12"/>
      <c r="D111" s="12" t="s">
        <v>701</v>
      </c>
      <c r="E111" s="12"/>
      <c r="F111" s="12" t="s">
        <v>701</v>
      </c>
      <c r="G111" s="12" t="s">
        <v>701</v>
      </c>
      <c r="H111" s="12" t="s">
        <v>701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 t="s">
        <v>701</v>
      </c>
      <c r="T111" s="12"/>
      <c r="U111" s="12"/>
      <c r="V111" s="12"/>
      <c r="W111" s="12" t="s">
        <v>701</v>
      </c>
      <c r="X111" s="12"/>
      <c r="Y111" s="12"/>
      <c r="Z111" s="12"/>
      <c r="AA111" s="12"/>
      <c r="AB111" s="12"/>
      <c r="AC111" s="12" t="str">
        <f>IF(OR(NOT(ISBLANK(AF111)), NOT(ISBLANK(AG111)), NOT(ISBLANK(AQ111)), NOT(ISBLANK(AN111))), "x", "")</f>
        <v/>
      </c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spans="1:43" ht="13.5">
      <c r="A112" s="11" t="s">
        <v>130</v>
      </c>
      <c r="B112" s="12" t="s">
        <v>588</v>
      </c>
      <c r="C112" s="12" t="s">
        <v>701</v>
      </c>
      <c r="D112" s="12" t="s">
        <v>701</v>
      </c>
      <c r="E112" s="12"/>
      <c r="F112" s="12"/>
      <c r="G112" s="12" t="s">
        <v>701</v>
      </c>
      <c r="H112" s="12"/>
      <c r="I112" s="12" t="s">
        <v>701</v>
      </c>
      <c r="J112" s="12"/>
      <c r="K112" s="12"/>
      <c r="L112" s="12"/>
      <c r="M112" s="12"/>
      <c r="N112" s="12"/>
      <c r="O112" s="12" t="s">
        <v>701</v>
      </c>
      <c r="P112" s="12"/>
      <c r="Q112" s="12"/>
      <c r="R112" s="12"/>
      <c r="S112" s="12"/>
      <c r="T112" s="12"/>
      <c r="U112" s="12"/>
      <c r="V112" s="12" t="s">
        <v>701</v>
      </c>
      <c r="W112" s="12" t="s">
        <v>701</v>
      </c>
      <c r="X112" s="12" t="s">
        <v>701</v>
      </c>
      <c r="Y112" s="12" t="s">
        <v>701</v>
      </c>
      <c r="Z112" s="12" t="s">
        <v>701</v>
      </c>
      <c r="AA112" s="12" t="s">
        <v>701</v>
      </c>
      <c r="AB112" s="12" t="s">
        <v>701</v>
      </c>
      <c r="AC112" s="12" t="str">
        <f>IF(OR(NOT(ISBLANK(AF112)), NOT(ISBLANK(AG112)), NOT(ISBLANK(AQ112)), NOT(ISBLANK(AN112))), "x", "")</f>
        <v/>
      </c>
      <c r="AD112" s="12" t="s">
        <v>701</v>
      </c>
      <c r="AE112" s="12"/>
      <c r="AF112" s="12"/>
      <c r="AG112" s="12"/>
      <c r="AH112" s="12"/>
      <c r="AI112" s="12"/>
      <c r="AJ112" s="12"/>
      <c r="AK112" s="12"/>
      <c r="AL112" s="12"/>
      <c r="AM112" s="12" t="s">
        <v>701</v>
      </c>
      <c r="AN112" s="12"/>
      <c r="AO112" s="12"/>
      <c r="AP112" s="12"/>
      <c r="AQ112" s="12"/>
    </row>
    <row r="113" spans="1:43" ht="13.5">
      <c r="A113" s="11" t="s">
        <v>131</v>
      </c>
      <c r="B113" s="12" t="s">
        <v>596</v>
      </c>
      <c r="C113" s="12" t="s">
        <v>701</v>
      </c>
      <c r="D113" s="12" t="s">
        <v>701</v>
      </c>
      <c r="E113" s="12"/>
      <c r="F113" s="12"/>
      <c r="G113" s="12" t="s">
        <v>701</v>
      </c>
      <c r="H113" s="12"/>
      <c r="I113" s="12" t="s">
        <v>701</v>
      </c>
      <c r="J113" s="12"/>
      <c r="K113" s="12"/>
      <c r="L113" s="12"/>
      <c r="M113" s="12"/>
      <c r="N113" s="12"/>
      <c r="O113" s="12" t="s">
        <v>701</v>
      </c>
      <c r="P113" s="12" t="s">
        <v>701</v>
      </c>
      <c r="Q113" s="12"/>
      <c r="R113" s="12"/>
      <c r="S113" s="12" t="s">
        <v>701</v>
      </c>
      <c r="T113" s="12"/>
      <c r="U113" s="12"/>
      <c r="V113" s="12" t="s">
        <v>701</v>
      </c>
      <c r="W113" s="12"/>
      <c r="X113" s="12"/>
      <c r="Y113" s="12"/>
      <c r="Z113" s="12"/>
      <c r="AA113" s="12"/>
      <c r="AB113" s="12"/>
      <c r="AC113" s="12" t="str">
        <f>IF(OR(NOT(ISBLANK(AF113)), NOT(ISBLANK(AG113)), NOT(ISBLANK(AQ113)), NOT(ISBLANK(AN113))), "x", "")</f>
        <v>x</v>
      </c>
      <c r="AD113" s="12"/>
      <c r="AE113" s="12"/>
      <c r="AF113" s="12"/>
      <c r="AG113" s="12"/>
      <c r="AH113" s="12"/>
      <c r="AI113" s="12"/>
      <c r="AJ113" s="12"/>
      <c r="AK113" s="12"/>
      <c r="AL113" s="12"/>
      <c r="AM113" s="12" t="s">
        <v>701</v>
      </c>
      <c r="AN113" s="12" t="s">
        <v>701</v>
      </c>
      <c r="AO113" s="12" t="s">
        <v>701</v>
      </c>
      <c r="AP113" s="12"/>
      <c r="AQ113" s="12"/>
    </row>
    <row r="114" spans="1:43" ht="13.5">
      <c r="A114" s="11" t="s">
        <v>132</v>
      </c>
      <c r="B114" s="12" t="s">
        <v>599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 t="str">
        <f>IF(OR(NOT(ISBLANK(AF114)), NOT(ISBLANK(AG114)), NOT(ISBLANK(AQ114)), NOT(ISBLANK(AN114))), "x", "")</f>
        <v/>
      </c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spans="1:43" ht="13.5">
      <c r="A115" s="11" t="s">
        <v>133</v>
      </c>
      <c r="B115" s="12" t="s">
        <v>599</v>
      </c>
      <c r="C115" s="12"/>
      <c r="D115" s="12"/>
      <c r="E115" s="12" t="s">
        <v>701</v>
      </c>
      <c r="F115" s="12" t="s">
        <v>701</v>
      </c>
      <c r="G115" s="12" t="s">
        <v>701</v>
      </c>
      <c r="H115" s="12" t="s">
        <v>701</v>
      </c>
      <c r="I115" s="12" t="s">
        <v>701</v>
      </c>
      <c r="J115" s="12"/>
      <c r="K115" s="12"/>
      <c r="L115" s="12"/>
      <c r="M115" s="12" t="s">
        <v>701</v>
      </c>
      <c r="N115" s="12"/>
      <c r="O115" s="12" t="s">
        <v>701</v>
      </c>
      <c r="P115" s="12"/>
      <c r="Q115" s="12" t="s">
        <v>701</v>
      </c>
      <c r="R115" s="12"/>
      <c r="S115" s="12" t="s">
        <v>701</v>
      </c>
      <c r="T115" s="12"/>
      <c r="U115" s="12" t="s">
        <v>701</v>
      </c>
      <c r="V115" s="12" t="s">
        <v>701</v>
      </c>
      <c r="W115" s="12" t="s">
        <v>701</v>
      </c>
      <c r="X115" s="12"/>
      <c r="Y115" s="12" t="s">
        <v>701</v>
      </c>
      <c r="Z115" s="12" t="s">
        <v>701</v>
      </c>
      <c r="AA115" s="12"/>
      <c r="AB115" s="12"/>
      <c r="AC115" s="12" t="str">
        <f>IF(OR(NOT(ISBLANK(AF115)), NOT(ISBLANK(AG115)), NOT(ISBLANK(AQ115)), NOT(ISBLANK(AN115))), "x", "")</f>
        <v/>
      </c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spans="1:43" ht="13.5">
      <c r="A116" s="11" t="s">
        <v>134</v>
      </c>
      <c r="B116" s="12" t="s">
        <v>599</v>
      </c>
      <c r="C116" s="12"/>
      <c r="D116" s="12"/>
      <c r="E116" s="12" t="s">
        <v>701</v>
      </c>
      <c r="F116" s="12" t="s">
        <v>701</v>
      </c>
      <c r="G116" s="12" t="s">
        <v>701</v>
      </c>
      <c r="H116" s="12" t="s">
        <v>701</v>
      </c>
      <c r="I116" s="12" t="s">
        <v>701</v>
      </c>
      <c r="J116" s="12"/>
      <c r="K116" s="12"/>
      <c r="L116" s="12"/>
      <c r="M116" s="12" t="s">
        <v>701</v>
      </c>
      <c r="N116" s="12"/>
      <c r="O116" s="12" t="s">
        <v>701</v>
      </c>
      <c r="P116" s="12"/>
      <c r="Q116" s="12" t="s">
        <v>701</v>
      </c>
      <c r="R116" s="12"/>
      <c r="S116" s="12" t="s">
        <v>701</v>
      </c>
      <c r="T116" s="12"/>
      <c r="U116" s="12" t="s">
        <v>701</v>
      </c>
      <c r="V116" s="12" t="s">
        <v>701</v>
      </c>
      <c r="W116" s="12" t="s">
        <v>701</v>
      </c>
      <c r="X116" s="12"/>
      <c r="Y116" s="12" t="s">
        <v>701</v>
      </c>
      <c r="Z116" s="12" t="s">
        <v>701</v>
      </c>
      <c r="AA116" s="12"/>
      <c r="AB116" s="12"/>
      <c r="AC116" s="12" t="str">
        <f>IF(OR(NOT(ISBLANK(AF116)), NOT(ISBLANK(AG116)), NOT(ISBLANK(AQ116)), NOT(ISBLANK(AN116))), "x", "")</f>
        <v/>
      </c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spans="1:43" ht="13.5">
      <c r="A117" s="11" t="s">
        <v>135</v>
      </c>
      <c r="B117" s="12" t="s">
        <v>589</v>
      </c>
      <c r="C117" s="12" t="s">
        <v>701</v>
      </c>
      <c r="D117" s="12"/>
      <c r="E117" s="12"/>
      <c r="F117" s="12" t="s">
        <v>701</v>
      </c>
      <c r="G117" s="12" t="s">
        <v>701</v>
      </c>
      <c r="H117" s="12" t="s">
        <v>701</v>
      </c>
      <c r="I117" s="12" t="s">
        <v>701</v>
      </c>
      <c r="J117" s="12" t="s">
        <v>701</v>
      </c>
      <c r="K117" s="12"/>
      <c r="L117" s="12"/>
      <c r="M117" s="12" t="s">
        <v>701</v>
      </c>
      <c r="N117" s="12"/>
      <c r="O117" s="12" t="s">
        <v>701</v>
      </c>
      <c r="P117" s="12"/>
      <c r="Q117" s="12" t="s">
        <v>701</v>
      </c>
      <c r="R117" s="12"/>
      <c r="S117" s="12" t="s">
        <v>701</v>
      </c>
      <c r="T117" s="12"/>
      <c r="U117" s="12" t="s">
        <v>701</v>
      </c>
      <c r="V117" s="12" t="s">
        <v>701</v>
      </c>
      <c r="W117" s="12" t="s">
        <v>701</v>
      </c>
      <c r="X117" s="12" t="s">
        <v>701</v>
      </c>
      <c r="Y117" s="12" t="s">
        <v>701</v>
      </c>
      <c r="Z117" s="12" t="s">
        <v>701</v>
      </c>
      <c r="AA117" s="12"/>
      <c r="AB117" s="12"/>
      <c r="AC117" s="12" t="str">
        <f>IF(OR(NOT(ISBLANK(AF117)), NOT(ISBLANK(AG117)), NOT(ISBLANK(AQ117)), NOT(ISBLANK(AN117))), "x", "")</f>
        <v/>
      </c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spans="1:43" ht="13.5">
      <c r="A118" s="11" t="s">
        <v>136</v>
      </c>
      <c r="B118" s="12" t="s">
        <v>599</v>
      </c>
      <c r="C118" s="12"/>
      <c r="D118" s="12"/>
      <c r="E118" s="12" t="s">
        <v>701</v>
      </c>
      <c r="F118" s="12" t="s">
        <v>701</v>
      </c>
      <c r="G118" s="12" t="s">
        <v>701</v>
      </c>
      <c r="H118" s="12" t="s">
        <v>701</v>
      </c>
      <c r="I118" s="12" t="s">
        <v>701</v>
      </c>
      <c r="J118" s="12"/>
      <c r="K118" s="12"/>
      <c r="L118" s="12"/>
      <c r="M118" s="12" t="s">
        <v>701</v>
      </c>
      <c r="N118" s="12"/>
      <c r="O118" s="12" t="s">
        <v>701</v>
      </c>
      <c r="P118" s="12"/>
      <c r="Q118" s="12" t="s">
        <v>701</v>
      </c>
      <c r="R118" s="12"/>
      <c r="S118" s="12" t="s">
        <v>701</v>
      </c>
      <c r="T118" s="12"/>
      <c r="U118" s="12" t="s">
        <v>701</v>
      </c>
      <c r="V118" s="12" t="s">
        <v>701</v>
      </c>
      <c r="W118" s="12" t="s">
        <v>701</v>
      </c>
      <c r="X118" s="12"/>
      <c r="Y118" s="12" t="s">
        <v>701</v>
      </c>
      <c r="Z118" s="12" t="s">
        <v>701</v>
      </c>
      <c r="AA118" s="12"/>
      <c r="AB118" s="12"/>
      <c r="AC118" s="12" t="str">
        <f>IF(OR(NOT(ISBLANK(AF118)), NOT(ISBLANK(AG118)), NOT(ISBLANK(AQ118)), NOT(ISBLANK(AN118))), "x", "")</f>
        <v/>
      </c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spans="1:43" ht="13.5">
      <c r="A119" s="11" t="s">
        <v>137</v>
      </c>
      <c r="B119" s="12" t="s">
        <v>599</v>
      </c>
      <c r="C119" s="12" t="s">
        <v>701</v>
      </c>
      <c r="D119" s="12"/>
      <c r="E119" s="12"/>
      <c r="F119" s="12" t="s">
        <v>701</v>
      </c>
      <c r="G119" s="12" t="s">
        <v>701</v>
      </c>
      <c r="H119" s="12" t="s">
        <v>701</v>
      </c>
      <c r="I119" s="12" t="s">
        <v>701</v>
      </c>
      <c r="J119" s="12" t="s">
        <v>701</v>
      </c>
      <c r="K119" s="12"/>
      <c r="L119" s="12"/>
      <c r="M119" s="12" t="s">
        <v>701</v>
      </c>
      <c r="N119" s="12"/>
      <c r="O119" s="12" t="s">
        <v>701</v>
      </c>
      <c r="P119" s="12"/>
      <c r="Q119" s="12" t="s">
        <v>701</v>
      </c>
      <c r="R119" s="12"/>
      <c r="S119" s="12" t="s">
        <v>701</v>
      </c>
      <c r="T119" s="12"/>
      <c r="U119" s="12" t="s">
        <v>701</v>
      </c>
      <c r="V119" s="12" t="s">
        <v>701</v>
      </c>
      <c r="W119" s="12" t="s">
        <v>701</v>
      </c>
      <c r="X119" s="12" t="s">
        <v>701</v>
      </c>
      <c r="Y119" s="12" t="s">
        <v>701</v>
      </c>
      <c r="Z119" s="12" t="s">
        <v>701</v>
      </c>
      <c r="AA119" s="12"/>
      <c r="AB119" s="12"/>
      <c r="AC119" s="12" t="str">
        <f>IF(OR(NOT(ISBLANK(AF119)), NOT(ISBLANK(AG119)), NOT(ISBLANK(AQ119)), NOT(ISBLANK(AN119))), "x", "")</f>
        <v/>
      </c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spans="1:43" ht="13.5">
      <c r="A120" s="11" t="s">
        <v>138</v>
      </c>
      <c r="B120" s="12" t="s">
        <v>597</v>
      </c>
      <c r="C120" s="12"/>
      <c r="D120" s="12"/>
      <c r="E120" s="12" t="s">
        <v>701</v>
      </c>
      <c r="F120" s="12"/>
      <c r="G120" s="12"/>
      <c r="H120" s="12" t="s">
        <v>701</v>
      </c>
      <c r="I120" s="12"/>
      <c r="J120" s="12" t="s">
        <v>701</v>
      </c>
      <c r="K120" s="12" t="s">
        <v>701</v>
      </c>
      <c r="L120" s="12" t="s">
        <v>701</v>
      </c>
      <c r="M120" s="12" t="s">
        <v>701</v>
      </c>
      <c r="N120" s="12"/>
      <c r="O120" s="12"/>
      <c r="P120" s="12"/>
      <c r="Q120" s="12" t="s">
        <v>701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 t="s">
        <v>701</v>
      </c>
      <c r="AB120" s="12" t="s">
        <v>701</v>
      </c>
      <c r="AC120" s="12" t="str" cm="1">
        <f t="array" ref="AC120">IF(OR(NOT(ISBLANK(AG12x)), NOT(ISBLANK(AH12x)), NOT(ISBLANK(AR12x)), NOT(ISBLANK(AO12x))), "x", "")</f>
        <v>x</v>
      </c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spans="1:43" ht="13.5">
      <c r="A121" s="11" t="s">
        <v>139</v>
      </c>
      <c r="B121" s="12" t="s">
        <v>599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 t="str">
        <f>IF(OR(NOT(ISBLANK(AF121)), NOT(ISBLANK(AG121)), NOT(ISBLANK(AQ121)), NOT(ISBLANK(AN121))), "x", "")</f>
        <v/>
      </c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spans="1:43" ht="13.5">
      <c r="A122" s="11" t="s">
        <v>140</v>
      </c>
      <c r="B122" s="12" t="s">
        <v>599</v>
      </c>
      <c r="C122" s="12"/>
      <c r="D122" s="12"/>
      <c r="E122" s="12" t="s">
        <v>701</v>
      </c>
      <c r="F122" s="12" t="s">
        <v>701</v>
      </c>
      <c r="G122" s="12" t="s">
        <v>701</v>
      </c>
      <c r="H122" s="12" t="s">
        <v>701</v>
      </c>
      <c r="I122" s="12" t="s">
        <v>701</v>
      </c>
      <c r="J122" s="12"/>
      <c r="K122" s="12"/>
      <c r="L122" s="12"/>
      <c r="M122" s="12" t="s">
        <v>701</v>
      </c>
      <c r="N122" s="12"/>
      <c r="O122" s="12" t="s">
        <v>701</v>
      </c>
      <c r="P122" s="12"/>
      <c r="Q122" s="12" t="s">
        <v>701</v>
      </c>
      <c r="R122" s="12"/>
      <c r="S122" s="12" t="s">
        <v>701</v>
      </c>
      <c r="T122" s="12"/>
      <c r="U122" s="12" t="s">
        <v>701</v>
      </c>
      <c r="V122" s="12" t="s">
        <v>701</v>
      </c>
      <c r="W122" s="12" t="s">
        <v>701</v>
      </c>
      <c r="X122" s="12"/>
      <c r="Y122" s="12" t="s">
        <v>701</v>
      </c>
      <c r="Z122" s="12" t="s">
        <v>701</v>
      </c>
      <c r="AA122" s="12"/>
      <c r="AB122" s="12"/>
      <c r="AC122" s="12" t="str">
        <f>IF(OR(NOT(ISBLANK(AF122)), NOT(ISBLANK(AG122)), NOT(ISBLANK(AQ122)), NOT(ISBLANK(AN122))), "x", "")</f>
        <v/>
      </c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spans="1:43" ht="13.5">
      <c r="A123" s="11" t="s">
        <v>141</v>
      </c>
      <c r="B123" s="12" t="s">
        <v>599</v>
      </c>
      <c r="C123" s="12"/>
      <c r="D123" s="12"/>
      <c r="E123" s="12" t="s">
        <v>701</v>
      </c>
      <c r="F123" s="12" t="s">
        <v>701</v>
      </c>
      <c r="G123" s="12" t="s">
        <v>701</v>
      </c>
      <c r="H123" s="12" t="s">
        <v>701</v>
      </c>
      <c r="I123" s="12" t="s">
        <v>701</v>
      </c>
      <c r="J123" s="12"/>
      <c r="K123" s="12"/>
      <c r="L123" s="12"/>
      <c r="M123" s="12" t="s">
        <v>701</v>
      </c>
      <c r="N123" s="12"/>
      <c r="O123" s="12" t="s">
        <v>701</v>
      </c>
      <c r="P123" s="12"/>
      <c r="Q123" s="12" t="s">
        <v>701</v>
      </c>
      <c r="R123" s="12"/>
      <c r="S123" s="12" t="s">
        <v>701</v>
      </c>
      <c r="T123" s="12"/>
      <c r="U123" s="12" t="s">
        <v>701</v>
      </c>
      <c r="V123" s="12" t="s">
        <v>701</v>
      </c>
      <c r="W123" s="12" t="s">
        <v>701</v>
      </c>
      <c r="X123" s="12"/>
      <c r="Y123" s="12" t="s">
        <v>701</v>
      </c>
      <c r="Z123" s="12" t="s">
        <v>701</v>
      </c>
      <c r="AA123" s="12"/>
      <c r="AB123" s="12"/>
      <c r="AC123" s="12" t="str">
        <f>IF(OR(NOT(ISBLANK(AF123)), NOT(ISBLANK(AG123)), NOT(ISBLANK(AQ123)), NOT(ISBLANK(AN123))), "x", "")</f>
        <v/>
      </c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spans="1:43" ht="13.5">
      <c r="A124" s="11" t="s">
        <v>142</v>
      </c>
      <c r="B124" s="12" t="s">
        <v>597</v>
      </c>
      <c r="C124" s="12"/>
      <c r="D124" s="12"/>
      <c r="E124" s="12" t="s">
        <v>701</v>
      </c>
      <c r="F124" s="12"/>
      <c r="G124" s="12"/>
      <c r="H124" s="12" t="s">
        <v>701</v>
      </c>
      <c r="I124" s="12"/>
      <c r="J124" s="12" t="s">
        <v>701</v>
      </c>
      <c r="K124" s="12" t="s">
        <v>701</v>
      </c>
      <c r="L124" s="12" t="s">
        <v>701</v>
      </c>
      <c r="M124" s="12" t="s">
        <v>701</v>
      </c>
      <c r="N124" s="12"/>
      <c r="O124" s="12"/>
      <c r="P124" s="12"/>
      <c r="Q124" s="12" t="s">
        <v>701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 t="s">
        <v>701</v>
      </c>
      <c r="AB124" s="12" t="s">
        <v>701</v>
      </c>
      <c r="AC124" s="12" t="str">
        <f>IF(OR(NOT(ISBLANK(AF124)), NOT(ISBLANK(AG124)), NOT(ISBLANK(AQ124)), NOT(ISBLANK(AN124))), "x", "")</f>
        <v/>
      </c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spans="1:43" ht="13.5">
      <c r="A125" s="11" t="s">
        <v>143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 t="str">
        <f>IF(OR(NOT(ISBLANK(AF125)), NOT(ISBLANK(AG125)), NOT(ISBLANK(AQ125)), NOT(ISBLANK(AN125))), "x", "")</f>
        <v/>
      </c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 spans="1:43" ht="13.5">
      <c r="A126" s="11" t="s">
        <v>144</v>
      </c>
      <c r="B126" s="12" t="s">
        <v>587</v>
      </c>
      <c r="C126" s="12"/>
      <c r="D126" s="12" t="s">
        <v>701</v>
      </c>
      <c r="E126" s="12"/>
      <c r="F126" s="12" t="s">
        <v>701</v>
      </c>
      <c r="G126" s="12" t="s">
        <v>701</v>
      </c>
      <c r="H126" s="12" t="s">
        <v>701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 t="s">
        <v>701</v>
      </c>
      <c r="T126" s="12"/>
      <c r="U126" s="12"/>
      <c r="V126" s="12"/>
      <c r="W126" s="12" t="s">
        <v>701</v>
      </c>
      <c r="X126" s="12"/>
      <c r="Y126" s="12"/>
      <c r="Z126" s="12"/>
      <c r="AA126" s="12"/>
      <c r="AB126" s="12"/>
      <c r="AC126" s="12" t="str">
        <f>IF(OR(NOT(ISBLANK(AF126)), NOT(ISBLANK(AG126)), NOT(ISBLANK(AQ126)), NOT(ISBLANK(AN126))), "x", "")</f>
        <v/>
      </c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 spans="1:43" ht="13.5">
      <c r="A127" s="11" t="s">
        <v>145</v>
      </c>
      <c r="B127" s="12" t="s">
        <v>588</v>
      </c>
      <c r="C127" s="12" t="s">
        <v>701</v>
      </c>
      <c r="D127" s="12" t="s">
        <v>701</v>
      </c>
      <c r="E127" s="12"/>
      <c r="F127" s="12"/>
      <c r="G127" s="12" t="s">
        <v>701</v>
      </c>
      <c r="H127" s="12"/>
      <c r="I127" s="12" t="s">
        <v>701</v>
      </c>
      <c r="J127" s="12"/>
      <c r="K127" s="12"/>
      <c r="L127" s="12"/>
      <c r="M127" s="12"/>
      <c r="N127" s="12"/>
      <c r="O127" s="12" t="s">
        <v>701</v>
      </c>
      <c r="P127" s="12"/>
      <c r="Q127" s="12"/>
      <c r="R127" s="12"/>
      <c r="S127" s="12"/>
      <c r="T127" s="12"/>
      <c r="U127" s="12"/>
      <c r="V127" s="12" t="s">
        <v>701</v>
      </c>
      <c r="W127" s="12" t="s">
        <v>701</v>
      </c>
      <c r="X127" s="12" t="s">
        <v>701</v>
      </c>
      <c r="Y127" s="12" t="s">
        <v>701</v>
      </c>
      <c r="Z127" s="12" t="s">
        <v>701</v>
      </c>
      <c r="AA127" s="12" t="s">
        <v>701</v>
      </c>
      <c r="AB127" s="12" t="s">
        <v>701</v>
      </c>
      <c r="AC127" s="12" t="str">
        <f>IF(OR(NOT(ISBLANK(AF127)), NOT(ISBLANK(AG127)), NOT(ISBLANK(AQ127)), NOT(ISBLANK(AN127))), "x", "")</f>
        <v/>
      </c>
      <c r="AD127" s="12" t="s">
        <v>701</v>
      </c>
      <c r="AE127" s="12"/>
      <c r="AF127" s="12"/>
      <c r="AG127" s="12"/>
      <c r="AH127" s="12"/>
      <c r="AI127" s="12"/>
      <c r="AJ127" s="12"/>
      <c r="AK127" s="12"/>
      <c r="AL127" s="12"/>
      <c r="AM127" s="12" t="s">
        <v>701</v>
      </c>
      <c r="AN127" s="12"/>
      <c r="AO127" s="12"/>
      <c r="AP127" s="12"/>
      <c r="AQ127" s="12"/>
    </row>
    <row r="128" spans="1:43" ht="13.5">
      <c r="A128" s="11" t="s">
        <v>146</v>
      </c>
      <c r="B128" s="12" t="s">
        <v>592</v>
      </c>
      <c r="C128" s="12" t="s">
        <v>701</v>
      </c>
      <c r="D128" s="12" t="s">
        <v>701</v>
      </c>
      <c r="E128" s="12"/>
      <c r="F128" s="12" t="s">
        <v>701</v>
      </c>
      <c r="G128" s="12" t="s">
        <v>701</v>
      </c>
      <c r="H128" s="12" t="s">
        <v>701</v>
      </c>
      <c r="I128" s="12" t="s">
        <v>701</v>
      </c>
      <c r="J128" s="12"/>
      <c r="K128" s="12"/>
      <c r="L128" s="12"/>
      <c r="M128" s="12"/>
      <c r="N128" s="12"/>
      <c r="O128" s="12" t="s">
        <v>701</v>
      </c>
      <c r="P128" s="12"/>
      <c r="Q128" s="12"/>
      <c r="R128" s="12"/>
      <c r="S128" s="12" t="s">
        <v>701</v>
      </c>
      <c r="T128" s="12"/>
      <c r="U128" s="12"/>
      <c r="V128" s="12" t="s">
        <v>701</v>
      </c>
      <c r="W128" s="12"/>
      <c r="X128" s="12"/>
      <c r="Y128" s="12" t="s">
        <v>701</v>
      </c>
      <c r="Z128" s="12" t="s">
        <v>701</v>
      </c>
      <c r="AA128" s="12" t="s">
        <v>701</v>
      </c>
      <c r="AB128" s="12"/>
      <c r="AC128" s="12" t="str">
        <f>IF(OR(NOT(ISBLANK(AF128)), NOT(ISBLANK(AG128)), NOT(ISBLANK(AQ128)), NOT(ISBLANK(AN128))), "x", "")</f>
        <v>x</v>
      </c>
      <c r="AD128" s="12" t="s">
        <v>701</v>
      </c>
      <c r="AE128" s="12"/>
      <c r="AF128" s="12" t="s">
        <v>701</v>
      </c>
      <c r="AG128" s="12" t="s">
        <v>701</v>
      </c>
      <c r="AH128" s="12"/>
      <c r="AI128" s="12"/>
      <c r="AJ128" s="12"/>
      <c r="AK128" s="12"/>
      <c r="AL128" s="12"/>
      <c r="AM128" s="12" t="s">
        <v>701</v>
      </c>
      <c r="AN128" s="12"/>
      <c r="AO128" s="12"/>
      <c r="AP128" s="12" t="s">
        <v>701</v>
      </c>
      <c r="AQ128" s="12" t="s">
        <v>701</v>
      </c>
    </row>
    <row r="129" spans="1:43" ht="13.5">
      <c r="A129" s="11" t="s">
        <v>147</v>
      </c>
      <c r="B129" s="12" t="s">
        <v>592</v>
      </c>
      <c r="C129" s="12" t="s">
        <v>701</v>
      </c>
      <c r="D129" s="12" t="s">
        <v>701</v>
      </c>
      <c r="E129" s="12"/>
      <c r="F129" s="12" t="s">
        <v>701</v>
      </c>
      <c r="G129" s="12" t="s">
        <v>701</v>
      </c>
      <c r="H129" s="12" t="s">
        <v>701</v>
      </c>
      <c r="I129" s="12" t="s">
        <v>701</v>
      </c>
      <c r="J129" s="12"/>
      <c r="K129" s="12"/>
      <c r="L129" s="12"/>
      <c r="M129" s="12"/>
      <c r="N129" s="12"/>
      <c r="O129" s="12" t="s">
        <v>701</v>
      </c>
      <c r="P129" s="12"/>
      <c r="Q129" s="12"/>
      <c r="R129" s="12"/>
      <c r="S129" s="12" t="s">
        <v>701</v>
      </c>
      <c r="T129" s="12"/>
      <c r="U129" s="12"/>
      <c r="V129" s="12" t="s">
        <v>701</v>
      </c>
      <c r="W129" s="12"/>
      <c r="X129" s="12"/>
      <c r="Y129" s="12" t="s">
        <v>701</v>
      </c>
      <c r="Z129" s="12" t="s">
        <v>701</v>
      </c>
      <c r="AA129" s="12" t="s">
        <v>701</v>
      </c>
      <c r="AB129" s="12"/>
      <c r="AC129" s="12" t="str">
        <f>IF(OR(NOT(ISBLANK(AF129)), NOT(ISBLANK(AG129)), NOT(ISBLANK(AQ129)), NOT(ISBLANK(AN129))), "x", "")</f>
        <v>x</v>
      </c>
      <c r="AD129" s="12" t="s">
        <v>701</v>
      </c>
      <c r="AE129" s="12"/>
      <c r="AF129" s="12" t="s">
        <v>701</v>
      </c>
      <c r="AG129" s="12" t="s">
        <v>701</v>
      </c>
      <c r="AH129" s="12"/>
      <c r="AI129" s="12"/>
      <c r="AJ129" s="12"/>
      <c r="AK129" s="12"/>
      <c r="AL129" s="12"/>
      <c r="AM129" s="12" t="s">
        <v>701</v>
      </c>
      <c r="AN129" s="12"/>
      <c r="AO129" s="12"/>
      <c r="AP129" s="12" t="s">
        <v>701</v>
      </c>
      <c r="AQ129" s="12" t="s">
        <v>701</v>
      </c>
    </row>
    <row r="130" spans="1:43" ht="13.5">
      <c r="A130" s="11" t="s">
        <v>148</v>
      </c>
      <c r="B130" s="12" t="s">
        <v>588</v>
      </c>
      <c r="C130" s="12" t="s">
        <v>701</v>
      </c>
      <c r="D130" s="12" t="s">
        <v>701</v>
      </c>
      <c r="E130" s="12"/>
      <c r="F130" s="12"/>
      <c r="G130" s="12" t="s">
        <v>701</v>
      </c>
      <c r="H130" s="12" t="s">
        <v>701</v>
      </c>
      <c r="I130" s="12" t="s">
        <v>701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 t="s">
        <v>701</v>
      </c>
      <c r="T130" s="12"/>
      <c r="U130" s="12"/>
      <c r="V130" s="12" t="s">
        <v>701</v>
      </c>
      <c r="W130" s="12"/>
      <c r="X130" s="12"/>
      <c r="Y130" s="12"/>
      <c r="Z130" s="12"/>
      <c r="AA130" s="12"/>
      <c r="AB130" s="12"/>
      <c r="AC130" s="12" t="str" cm="1">
        <f t="array" ref="AC130">IF(OR(NOT(ISBLANK(AG13x)), NOT(ISBLANK(AH13x)), NOT(ISBLANK(AR13x)), NOT(ISBLANK(AO13x))), "x", "")</f>
        <v>x</v>
      </c>
      <c r="AD130" s="12" t="s">
        <v>701</v>
      </c>
      <c r="AE130" s="12"/>
      <c r="AF130" s="12" t="s">
        <v>701</v>
      </c>
      <c r="AG130" s="12"/>
      <c r="AH130" s="12" t="s">
        <v>701</v>
      </c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spans="1:43" ht="13.5">
      <c r="A131" s="11" t="s">
        <v>149</v>
      </c>
      <c r="B131" s="12" t="s">
        <v>593</v>
      </c>
      <c r="C131" s="12"/>
      <c r="D131" s="12" t="s">
        <v>701</v>
      </c>
      <c r="E131" s="12"/>
      <c r="F131" s="12"/>
      <c r="G131" s="12"/>
      <c r="H131" s="12" t="s">
        <v>701</v>
      </c>
      <c r="I131" s="12" t="s">
        <v>701</v>
      </c>
      <c r="J131" s="12" t="s">
        <v>701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 t="s">
        <v>701</v>
      </c>
      <c r="W131" s="12"/>
      <c r="X131" s="12"/>
      <c r="Y131" s="12"/>
      <c r="Z131" s="12"/>
      <c r="AA131" s="12"/>
      <c r="AB131" s="12"/>
      <c r="AC131" s="12" t="str">
        <f>IF(OR(NOT(ISBLANK(AF131)), NOT(ISBLANK(AG131)), NOT(ISBLANK(AQ131)), NOT(ISBLANK(AN131))), "x", "")</f>
        <v>x</v>
      </c>
      <c r="AD131" s="12" t="s">
        <v>701</v>
      </c>
      <c r="AE131" s="12"/>
      <c r="AF131" s="12" t="s">
        <v>701</v>
      </c>
      <c r="AG131" s="12"/>
      <c r="AH131" s="12" t="s">
        <v>701</v>
      </c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spans="1:43" ht="13.5">
      <c r="A132" s="11" t="s">
        <v>150</v>
      </c>
      <c r="B132" s="12" t="s">
        <v>592</v>
      </c>
      <c r="C132" s="12" t="s">
        <v>701</v>
      </c>
      <c r="D132" s="12" t="s">
        <v>701</v>
      </c>
      <c r="E132" s="12"/>
      <c r="F132" s="12" t="s">
        <v>701</v>
      </c>
      <c r="G132" s="12"/>
      <c r="H132" s="12" t="s">
        <v>701</v>
      </c>
      <c r="I132" s="12" t="s">
        <v>701</v>
      </c>
      <c r="J132" s="12" t="s">
        <v>701</v>
      </c>
      <c r="K132" s="12"/>
      <c r="L132" s="12"/>
      <c r="M132" s="12"/>
      <c r="N132" s="12"/>
      <c r="O132" s="12" t="s">
        <v>701</v>
      </c>
      <c r="P132" s="12"/>
      <c r="Q132" s="12"/>
      <c r="R132" s="12"/>
      <c r="S132" s="12" t="s">
        <v>701</v>
      </c>
      <c r="T132" s="12"/>
      <c r="U132" s="12"/>
      <c r="V132" s="12" t="s">
        <v>701</v>
      </c>
      <c r="W132" s="12"/>
      <c r="X132" s="12" t="s">
        <v>701</v>
      </c>
      <c r="Y132" s="12" t="s">
        <v>701</v>
      </c>
      <c r="Z132" s="12" t="s">
        <v>701</v>
      </c>
      <c r="AA132" s="12" t="s">
        <v>701</v>
      </c>
      <c r="AB132" s="12"/>
      <c r="AC132" s="12" t="str">
        <f>IF(OR(NOT(ISBLANK(AF132)), NOT(ISBLANK(AG132)), NOT(ISBLANK(AQ132)), NOT(ISBLANK(AN132))), "x", "")</f>
        <v>x</v>
      </c>
      <c r="AD132" s="12" t="s">
        <v>701</v>
      </c>
      <c r="AE132" s="12" t="s">
        <v>701</v>
      </c>
      <c r="AF132" s="12" t="s">
        <v>701</v>
      </c>
      <c r="AG132" s="12" t="s">
        <v>701</v>
      </c>
      <c r="AH132" s="12" t="s">
        <v>701</v>
      </c>
      <c r="AI132" s="12"/>
      <c r="AJ132" s="12"/>
      <c r="AK132" s="12"/>
      <c r="AL132" s="12"/>
      <c r="AM132" s="12" t="s">
        <v>701</v>
      </c>
      <c r="AN132" s="12"/>
      <c r="AO132" s="12" t="s">
        <v>701</v>
      </c>
      <c r="AP132" s="12" t="s">
        <v>701</v>
      </c>
      <c r="AQ132" s="12" t="s">
        <v>701</v>
      </c>
    </row>
    <row r="133" spans="1:43" ht="13.5">
      <c r="A133" s="11" t="s">
        <v>151</v>
      </c>
      <c r="B133" s="12" t="s">
        <v>592</v>
      </c>
      <c r="C133" s="12" t="s">
        <v>701</v>
      </c>
      <c r="D133" s="12" t="s">
        <v>701</v>
      </c>
      <c r="E133" s="12"/>
      <c r="F133" s="12" t="s">
        <v>701</v>
      </c>
      <c r="G133" s="12"/>
      <c r="H133" s="12" t="s">
        <v>701</v>
      </c>
      <c r="I133" s="12" t="s">
        <v>701</v>
      </c>
      <c r="J133" s="12" t="s">
        <v>701</v>
      </c>
      <c r="K133" s="12"/>
      <c r="L133" s="12"/>
      <c r="M133" s="12"/>
      <c r="N133" s="12"/>
      <c r="O133" s="12" t="s">
        <v>701</v>
      </c>
      <c r="P133" s="12"/>
      <c r="Q133" s="12"/>
      <c r="R133" s="12"/>
      <c r="S133" s="12" t="s">
        <v>701</v>
      </c>
      <c r="T133" s="12"/>
      <c r="U133" s="12"/>
      <c r="V133" s="12" t="s">
        <v>701</v>
      </c>
      <c r="W133" s="12"/>
      <c r="X133" s="12" t="s">
        <v>701</v>
      </c>
      <c r="Y133" s="12" t="s">
        <v>701</v>
      </c>
      <c r="Z133" s="12" t="s">
        <v>701</v>
      </c>
      <c r="AA133" s="12" t="s">
        <v>701</v>
      </c>
      <c r="AB133" s="12"/>
      <c r="AC133" s="12" t="str">
        <f>IF(OR(NOT(ISBLANK(AF133)), NOT(ISBLANK(AG133)), NOT(ISBLANK(AQ133)), NOT(ISBLANK(AN133))), "x", "")</f>
        <v>x</v>
      </c>
      <c r="AD133" s="12" t="s">
        <v>701</v>
      </c>
      <c r="AE133" s="12" t="s">
        <v>701</v>
      </c>
      <c r="AF133" s="12" t="s">
        <v>701</v>
      </c>
      <c r="AG133" s="12" t="s">
        <v>701</v>
      </c>
      <c r="AH133" s="12" t="s">
        <v>701</v>
      </c>
      <c r="AI133" s="12"/>
      <c r="AJ133" s="12"/>
      <c r="AK133" s="12"/>
      <c r="AL133" s="12"/>
      <c r="AM133" s="12" t="s">
        <v>701</v>
      </c>
      <c r="AN133" s="12"/>
      <c r="AO133" s="12" t="s">
        <v>701</v>
      </c>
      <c r="AP133" s="12" t="s">
        <v>701</v>
      </c>
      <c r="AQ133" s="12" t="s">
        <v>701</v>
      </c>
    </row>
    <row r="134" spans="1:43" ht="13.5">
      <c r="A134" s="11" t="s">
        <v>152</v>
      </c>
      <c r="B134" s="12" t="s">
        <v>592</v>
      </c>
      <c r="C134" s="12" t="s">
        <v>701</v>
      </c>
      <c r="D134" s="12" t="s">
        <v>701</v>
      </c>
      <c r="E134" s="12"/>
      <c r="F134" s="12" t="s">
        <v>701</v>
      </c>
      <c r="G134" s="12"/>
      <c r="H134" s="12" t="s">
        <v>701</v>
      </c>
      <c r="I134" s="12" t="s">
        <v>701</v>
      </c>
      <c r="J134" s="12" t="s">
        <v>701</v>
      </c>
      <c r="K134" s="12"/>
      <c r="L134" s="12"/>
      <c r="M134" s="12"/>
      <c r="N134" s="12"/>
      <c r="O134" s="12" t="s">
        <v>701</v>
      </c>
      <c r="P134" s="12"/>
      <c r="Q134" s="12"/>
      <c r="R134" s="12"/>
      <c r="S134" s="12" t="s">
        <v>701</v>
      </c>
      <c r="T134" s="12"/>
      <c r="U134" s="12"/>
      <c r="V134" s="12" t="s">
        <v>701</v>
      </c>
      <c r="W134" s="12"/>
      <c r="X134" s="12" t="s">
        <v>701</v>
      </c>
      <c r="Y134" s="12" t="s">
        <v>701</v>
      </c>
      <c r="Z134" s="12" t="s">
        <v>701</v>
      </c>
      <c r="AA134" s="12" t="s">
        <v>701</v>
      </c>
      <c r="AB134" s="12"/>
      <c r="AC134" s="12" t="str">
        <f>IF(OR(NOT(ISBLANK(AF134)), NOT(ISBLANK(AG134)), NOT(ISBLANK(AQ134)), NOT(ISBLANK(AN134))), "x", "")</f>
        <v>x</v>
      </c>
      <c r="AD134" s="12" t="s">
        <v>701</v>
      </c>
      <c r="AE134" s="12" t="s">
        <v>701</v>
      </c>
      <c r="AF134" s="12" t="s">
        <v>701</v>
      </c>
      <c r="AG134" s="12" t="s">
        <v>701</v>
      </c>
      <c r="AH134" s="12" t="s">
        <v>701</v>
      </c>
      <c r="AI134" s="12"/>
      <c r="AJ134" s="12"/>
      <c r="AK134" s="12"/>
      <c r="AL134" s="12"/>
      <c r="AM134" s="12" t="s">
        <v>701</v>
      </c>
      <c r="AN134" s="12"/>
      <c r="AO134" s="12" t="s">
        <v>701</v>
      </c>
      <c r="AP134" s="12" t="s">
        <v>701</v>
      </c>
      <c r="AQ134" s="12" t="s">
        <v>701</v>
      </c>
    </row>
    <row r="135" spans="1:43" ht="13.5">
      <c r="A135" s="11" t="s">
        <v>153</v>
      </c>
      <c r="B135" s="12" t="s">
        <v>592</v>
      </c>
      <c r="C135" s="12" t="s">
        <v>701</v>
      </c>
      <c r="D135" s="12" t="s">
        <v>701</v>
      </c>
      <c r="E135" s="12"/>
      <c r="F135" s="12" t="s">
        <v>701</v>
      </c>
      <c r="G135" s="12"/>
      <c r="H135" s="12" t="s">
        <v>701</v>
      </c>
      <c r="I135" s="12" t="s">
        <v>701</v>
      </c>
      <c r="J135" s="12" t="s">
        <v>701</v>
      </c>
      <c r="K135" s="12"/>
      <c r="L135" s="12"/>
      <c r="M135" s="12"/>
      <c r="N135" s="12"/>
      <c r="O135" s="12" t="s">
        <v>701</v>
      </c>
      <c r="P135" s="12"/>
      <c r="Q135" s="12"/>
      <c r="R135" s="12"/>
      <c r="S135" s="12" t="s">
        <v>701</v>
      </c>
      <c r="T135" s="12"/>
      <c r="U135" s="12"/>
      <c r="V135" s="12" t="s">
        <v>701</v>
      </c>
      <c r="W135" s="12"/>
      <c r="X135" s="12" t="s">
        <v>701</v>
      </c>
      <c r="Y135" s="12" t="s">
        <v>701</v>
      </c>
      <c r="Z135" s="12" t="s">
        <v>701</v>
      </c>
      <c r="AA135" s="12" t="s">
        <v>701</v>
      </c>
      <c r="AB135" s="12"/>
      <c r="AC135" s="12" t="str">
        <f>IF(OR(NOT(ISBLANK(AF135)), NOT(ISBLANK(AG135)), NOT(ISBLANK(AQ135)), NOT(ISBLANK(AN135))), "x", "")</f>
        <v>x</v>
      </c>
      <c r="AD135" s="12" t="s">
        <v>701</v>
      </c>
      <c r="AE135" s="12" t="s">
        <v>701</v>
      </c>
      <c r="AF135" s="12" t="s">
        <v>701</v>
      </c>
      <c r="AG135" s="12" t="s">
        <v>701</v>
      </c>
      <c r="AH135" s="12" t="s">
        <v>701</v>
      </c>
      <c r="AI135" s="12"/>
      <c r="AJ135" s="12"/>
      <c r="AK135" s="12"/>
      <c r="AL135" s="12"/>
      <c r="AM135" s="12" t="s">
        <v>701</v>
      </c>
      <c r="AN135" s="12"/>
      <c r="AO135" s="12" t="s">
        <v>701</v>
      </c>
      <c r="AP135" s="12" t="s">
        <v>701</v>
      </c>
      <c r="AQ135" s="12" t="s">
        <v>701</v>
      </c>
    </row>
    <row r="136" spans="1:43" ht="13.5">
      <c r="A136" s="11" t="s">
        <v>154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 t="str">
        <f>IF(OR(NOT(ISBLANK(AF136)), NOT(ISBLANK(AG136)), NOT(ISBLANK(AQ136)), NOT(ISBLANK(AN136))), "x", "")</f>
        <v/>
      </c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spans="1:43" ht="13.5">
      <c r="A137" s="11" t="s">
        <v>155</v>
      </c>
      <c r="B137" s="12" t="s">
        <v>587</v>
      </c>
      <c r="C137" s="12"/>
      <c r="D137" s="12" t="s">
        <v>701</v>
      </c>
      <c r="E137" s="12"/>
      <c r="F137" s="12" t="s">
        <v>701</v>
      </c>
      <c r="G137" s="12" t="s">
        <v>701</v>
      </c>
      <c r="H137" s="12" t="s">
        <v>701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 t="s">
        <v>701</v>
      </c>
      <c r="T137" s="12"/>
      <c r="U137" s="12"/>
      <c r="V137" s="12"/>
      <c r="W137" s="12" t="s">
        <v>701</v>
      </c>
      <c r="X137" s="12"/>
      <c r="Y137" s="12"/>
      <c r="Z137" s="12"/>
      <c r="AA137" s="12"/>
      <c r="AB137" s="12"/>
      <c r="AC137" s="12" t="str">
        <f>IF(OR(NOT(ISBLANK(AF137)), NOT(ISBLANK(AG137)), NOT(ISBLANK(AQ137)), NOT(ISBLANK(AN137))), "x", "")</f>
        <v/>
      </c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spans="1:43" ht="13.5">
      <c r="A138" s="11" t="s">
        <v>156</v>
      </c>
      <c r="B138" s="12" t="s">
        <v>588</v>
      </c>
      <c r="C138" s="12" t="s">
        <v>701</v>
      </c>
      <c r="D138" s="12" t="s">
        <v>701</v>
      </c>
      <c r="E138" s="12"/>
      <c r="F138" s="12"/>
      <c r="G138" s="12" t="s">
        <v>701</v>
      </c>
      <c r="H138" s="12"/>
      <c r="I138" s="12" t="s">
        <v>701</v>
      </c>
      <c r="J138" s="12"/>
      <c r="K138" s="12"/>
      <c r="L138" s="12"/>
      <c r="M138" s="12"/>
      <c r="N138" s="12"/>
      <c r="O138" s="12" t="s">
        <v>701</v>
      </c>
      <c r="P138" s="12"/>
      <c r="Q138" s="12"/>
      <c r="R138" s="12"/>
      <c r="S138" s="12"/>
      <c r="T138" s="12"/>
      <c r="U138" s="12"/>
      <c r="V138" s="12" t="s">
        <v>701</v>
      </c>
      <c r="W138" s="12" t="s">
        <v>701</v>
      </c>
      <c r="X138" s="12" t="s">
        <v>701</v>
      </c>
      <c r="Y138" s="12" t="s">
        <v>701</v>
      </c>
      <c r="Z138" s="12" t="s">
        <v>701</v>
      </c>
      <c r="AA138" s="12" t="s">
        <v>701</v>
      </c>
      <c r="AB138" s="12" t="s">
        <v>701</v>
      </c>
      <c r="AC138" s="12" t="str">
        <f>IF(OR(NOT(ISBLANK(AF138)), NOT(ISBLANK(AG138)), NOT(ISBLANK(AQ138)), NOT(ISBLANK(AN138))), "x", "")</f>
        <v/>
      </c>
      <c r="AD138" s="12" t="s">
        <v>701</v>
      </c>
      <c r="AE138" s="12"/>
      <c r="AF138" s="12"/>
      <c r="AG138" s="12"/>
      <c r="AH138" s="12"/>
      <c r="AI138" s="12"/>
      <c r="AJ138" s="12"/>
      <c r="AK138" s="12"/>
      <c r="AL138" s="12"/>
      <c r="AM138" s="12" t="s">
        <v>701</v>
      </c>
      <c r="AN138" s="12"/>
      <c r="AO138" s="12"/>
      <c r="AP138" s="12"/>
      <c r="AQ138" s="12"/>
    </row>
    <row r="139" spans="1:43" ht="13.5">
      <c r="A139" s="11" t="s">
        <v>157</v>
      </c>
      <c r="B139" s="12" t="s">
        <v>588</v>
      </c>
      <c r="C139" s="12" t="s">
        <v>701</v>
      </c>
      <c r="D139" s="12" t="s">
        <v>701</v>
      </c>
      <c r="E139" s="12"/>
      <c r="F139" s="12"/>
      <c r="G139" s="12" t="s">
        <v>701</v>
      </c>
      <c r="H139" s="12" t="s">
        <v>701</v>
      </c>
      <c r="I139" s="12" t="s">
        <v>701</v>
      </c>
      <c r="J139" s="12"/>
      <c r="K139" s="12"/>
      <c r="L139" s="12"/>
      <c r="M139" s="12"/>
      <c r="N139" s="12"/>
      <c r="O139" s="12" t="s">
        <v>701</v>
      </c>
      <c r="P139" s="12"/>
      <c r="Q139" s="12"/>
      <c r="R139" s="12"/>
      <c r="S139" s="12" t="s">
        <v>701</v>
      </c>
      <c r="T139" s="12"/>
      <c r="U139" s="12"/>
      <c r="V139" s="12" t="s">
        <v>701</v>
      </c>
      <c r="W139" s="12" t="s">
        <v>701</v>
      </c>
      <c r="X139" s="12" t="s">
        <v>701</v>
      </c>
      <c r="Y139" s="12" t="s">
        <v>701</v>
      </c>
      <c r="Z139" s="12" t="s">
        <v>701</v>
      </c>
      <c r="AA139" s="12"/>
      <c r="AB139" s="12"/>
      <c r="AC139" s="12" t="str">
        <f>IF(OR(NOT(ISBLANK(AF139)), NOT(ISBLANK(AG139)), NOT(ISBLANK(AQ139)), NOT(ISBLANK(AN139))), "x", "")</f>
        <v/>
      </c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3" ht="13.5">
      <c r="A140" s="11" t="s">
        <v>158</v>
      </c>
      <c r="B140" s="12" t="s">
        <v>588</v>
      </c>
      <c r="C140" s="12" t="s">
        <v>701</v>
      </c>
      <c r="D140" s="12" t="s">
        <v>701</v>
      </c>
      <c r="E140" s="12"/>
      <c r="F140" s="12" t="s">
        <v>701</v>
      </c>
      <c r="G140" s="12" t="s">
        <v>701</v>
      </c>
      <c r="H140" s="12" t="s">
        <v>701</v>
      </c>
      <c r="I140" s="12" t="s">
        <v>701</v>
      </c>
      <c r="J140" s="12"/>
      <c r="K140" s="12"/>
      <c r="L140" s="12"/>
      <c r="M140" s="12"/>
      <c r="N140" s="12"/>
      <c r="O140" s="12"/>
      <c r="P140" s="12"/>
      <c r="Q140" s="12" t="s">
        <v>701</v>
      </c>
      <c r="R140" s="12"/>
      <c r="S140" s="12" t="s">
        <v>701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 t="str" cm="1">
        <f t="array" ref="AC140">IF(OR(NOT(ISBLANK(AG14x)), NOT(ISBLANK(AH14x)), NOT(ISBLANK(AR14x)), NOT(ISBLANK(AO14x))), "x", "")</f>
        <v>x</v>
      </c>
      <c r="AD140" s="12"/>
      <c r="AE140" s="12"/>
      <c r="AF140" s="12" t="s">
        <v>701</v>
      </c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spans="1:43" ht="13.5">
      <c r="A141" s="11" t="s">
        <v>159</v>
      </c>
      <c r="B141" s="12" t="s">
        <v>587</v>
      </c>
      <c r="C141" s="12" t="s">
        <v>701</v>
      </c>
      <c r="D141" s="12" t="s">
        <v>701</v>
      </c>
      <c r="E141" s="12"/>
      <c r="F141" s="12" t="s">
        <v>701</v>
      </c>
      <c r="G141" s="12" t="s">
        <v>701</v>
      </c>
      <c r="H141" s="12" t="s">
        <v>701</v>
      </c>
      <c r="I141" s="12"/>
      <c r="J141" s="12" t="s">
        <v>701</v>
      </c>
      <c r="K141" s="12"/>
      <c r="L141" s="12"/>
      <c r="M141" s="12" t="s">
        <v>701</v>
      </c>
      <c r="N141" s="12"/>
      <c r="O141" s="12" t="s">
        <v>701</v>
      </c>
      <c r="P141" s="12"/>
      <c r="Q141" s="12" t="s">
        <v>701</v>
      </c>
      <c r="R141" s="12"/>
      <c r="S141" s="12" t="s">
        <v>701</v>
      </c>
      <c r="T141" s="12"/>
      <c r="U141" s="12" t="s">
        <v>701</v>
      </c>
      <c r="V141" s="12" t="s">
        <v>701</v>
      </c>
      <c r="W141" s="12"/>
      <c r="X141" s="12"/>
      <c r="Y141" s="12"/>
      <c r="Z141" s="12" t="s">
        <v>701</v>
      </c>
      <c r="AA141" s="12" t="s">
        <v>701</v>
      </c>
      <c r="AB141" s="12"/>
      <c r="AC141" s="12" t="str">
        <f>IF(OR(NOT(ISBLANK(AF141)), NOT(ISBLANK(AG141)), NOT(ISBLANK(AQ141)), NOT(ISBLANK(AN141))), "x", "")</f>
        <v>x</v>
      </c>
      <c r="AD141" s="12" t="s">
        <v>701</v>
      </c>
      <c r="AE141" s="12" t="s">
        <v>701</v>
      </c>
      <c r="AF141" s="12" t="s">
        <v>701</v>
      </c>
      <c r="AG141" s="12"/>
      <c r="AH141" s="12"/>
      <c r="AI141" s="12"/>
      <c r="AJ141" s="12"/>
      <c r="AK141" s="12"/>
      <c r="AL141" s="12"/>
      <c r="AM141" s="12" t="s">
        <v>701</v>
      </c>
      <c r="AN141" s="12"/>
      <c r="AO141" s="12"/>
      <c r="AP141" s="12" t="s">
        <v>701</v>
      </c>
      <c r="AQ141" s="12" t="s">
        <v>701</v>
      </c>
    </row>
    <row r="142" spans="1:43" ht="13.5">
      <c r="A142" s="11" t="s">
        <v>160</v>
      </c>
      <c r="B142" s="12" t="s">
        <v>606</v>
      </c>
      <c r="C142" s="12" t="s">
        <v>701</v>
      </c>
      <c r="D142" s="12" t="s">
        <v>701</v>
      </c>
      <c r="E142" s="12"/>
      <c r="F142" s="12" t="s">
        <v>701</v>
      </c>
      <c r="G142" s="12"/>
      <c r="H142" s="12" t="s">
        <v>701</v>
      </c>
      <c r="I142" s="12"/>
      <c r="J142" s="12"/>
      <c r="K142" s="12" t="s">
        <v>701</v>
      </c>
      <c r="L142" s="12" t="s">
        <v>701</v>
      </c>
      <c r="M142" s="12"/>
      <c r="N142" s="12"/>
      <c r="O142" s="12"/>
      <c r="P142" s="12"/>
      <c r="Q142" s="12" t="s">
        <v>701</v>
      </c>
      <c r="R142" s="12"/>
      <c r="S142" s="12"/>
      <c r="T142" s="12"/>
      <c r="U142" s="12"/>
      <c r="V142" s="12"/>
      <c r="W142" s="12" t="s">
        <v>701</v>
      </c>
      <c r="X142" s="12"/>
      <c r="Y142" s="12"/>
      <c r="Z142" s="12"/>
      <c r="AA142" s="12" t="s">
        <v>701</v>
      </c>
      <c r="AB142" s="12" t="s">
        <v>701</v>
      </c>
      <c r="AC142" s="12" t="str">
        <f>IF(OR(NOT(ISBLANK(AF142)), NOT(ISBLANK(AG142)), NOT(ISBLANK(AQ142)), NOT(ISBLANK(AN142))), "x", "")</f>
        <v/>
      </c>
      <c r="AD142" s="12" t="s">
        <v>701</v>
      </c>
      <c r="AE142" s="12"/>
      <c r="AF142" s="12"/>
      <c r="AG142" s="12"/>
      <c r="AH142" s="12"/>
      <c r="AI142" s="12"/>
      <c r="AJ142" s="12"/>
      <c r="AK142" s="12"/>
      <c r="AL142" s="12" t="s">
        <v>701</v>
      </c>
      <c r="AM142" s="12"/>
      <c r="AN142" s="12"/>
      <c r="AO142" s="12"/>
      <c r="AP142" s="12"/>
      <c r="AQ142" s="12"/>
    </row>
    <row r="143" spans="1:43" ht="13.5">
      <c r="A143" s="11" t="s">
        <v>161</v>
      </c>
      <c r="B143" s="12" t="s">
        <v>587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 t="str">
        <f>IF(OR(NOT(ISBLANK(AF143)), NOT(ISBLANK(AG143)), NOT(ISBLANK(AQ143)), NOT(ISBLANK(AN143))), "x", "")</f>
        <v/>
      </c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spans="1:43" ht="13.5">
      <c r="A144" s="11" t="s">
        <v>162</v>
      </c>
      <c r="B144" s="12" t="s">
        <v>590</v>
      </c>
      <c r="C144" s="12" t="s">
        <v>701</v>
      </c>
      <c r="D144" s="12" t="s">
        <v>701</v>
      </c>
      <c r="E144" s="12"/>
      <c r="F144" s="12"/>
      <c r="G144" s="12" t="s">
        <v>701</v>
      </c>
      <c r="H144" s="12"/>
      <c r="I144" s="12" t="s">
        <v>701</v>
      </c>
      <c r="J144" s="12"/>
      <c r="K144" s="12"/>
      <c r="L144" s="12"/>
      <c r="M144" s="12"/>
      <c r="N144" s="12"/>
      <c r="O144" s="12" t="s">
        <v>701</v>
      </c>
      <c r="P144" s="12"/>
      <c r="Q144" s="12"/>
      <c r="R144" s="12"/>
      <c r="S144" s="12"/>
      <c r="T144" s="12"/>
      <c r="U144" s="12" t="s">
        <v>701</v>
      </c>
      <c r="V144" s="12" t="s">
        <v>701</v>
      </c>
      <c r="W144" s="12" t="s">
        <v>701</v>
      </c>
      <c r="X144" s="12" t="s">
        <v>701</v>
      </c>
      <c r="Y144" s="12" t="s">
        <v>701</v>
      </c>
      <c r="Z144" s="12" t="s">
        <v>701</v>
      </c>
      <c r="AA144" s="12" t="s">
        <v>701</v>
      </c>
      <c r="AB144" s="12" t="s">
        <v>701</v>
      </c>
      <c r="AC144" s="12" t="str">
        <f>IF(OR(NOT(ISBLANK(AF144)), NOT(ISBLANK(AG144)), NOT(ISBLANK(AQ144)), NOT(ISBLANK(AN144))), "x", "")</f>
        <v/>
      </c>
      <c r="AD144" s="12" t="s">
        <v>701</v>
      </c>
      <c r="AE144" s="12"/>
      <c r="AF144" s="12"/>
      <c r="AG144" s="12"/>
      <c r="AH144" s="12"/>
      <c r="AI144" s="12"/>
      <c r="AJ144" s="12"/>
      <c r="AK144" s="12"/>
      <c r="AL144" s="12"/>
      <c r="AM144" s="12" t="s">
        <v>701</v>
      </c>
      <c r="AN144" s="12"/>
      <c r="AO144" s="12"/>
      <c r="AP144" s="12"/>
      <c r="AQ144" s="12"/>
    </row>
    <row r="145" spans="1:43" ht="13.5">
      <c r="A145" s="11" t="s">
        <v>163</v>
      </c>
      <c r="B145" s="12" t="s">
        <v>590</v>
      </c>
      <c r="C145" s="12" t="s">
        <v>701</v>
      </c>
      <c r="D145" s="12" t="s">
        <v>701</v>
      </c>
      <c r="E145" s="12"/>
      <c r="F145" s="12"/>
      <c r="G145" s="12" t="s">
        <v>701</v>
      </c>
      <c r="H145" s="12" t="s">
        <v>701</v>
      </c>
      <c r="I145" s="12" t="s">
        <v>701</v>
      </c>
      <c r="J145" s="12"/>
      <c r="K145" s="12"/>
      <c r="L145" s="12"/>
      <c r="M145" s="12"/>
      <c r="N145" s="12"/>
      <c r="O145" s="12" t="s">
        <v>701</v>
      </c>
      <c r="P145" s="12"/>
      <c r="Q145" s="12"/>
      <c r="R145" s="12"/>
      <c r="S145" s="12" t="s">
        <v>701</v>
      </c>
      <c r="T145" s="12"/>
      <c r="U145" s="12"/>
      <c r="V145" s="12" t="s">
        <v>701</v>
      </c>
      <c r="W145" s="12" t="s">
        <v>701</v>
      </c>
      <c r="X145" s="12" t="s">
        <v>701</v>
      </c>
      <c r="Y145" s="12" t="s">
        <v>701</v>
      </c>
      <c r="Z145" s="12" t="s">
        <v>701</v>
      </c>
      <c r="AA145" s="12"/>
      <c r="AB145" s="12"/>
      <c r="AC145" s="12" t="str">
        <f>IF(OR(NOT(ISBLANK(AF145)), NOT(ISBLANK(AG145)), NOT(ISBLANK(AQ145)), NOT(ISBLANK(AN145))), "x", "")</f>
        <v/>
      </c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 ht="13.5">
      <c r="A146" s="11" t="s">
        <v>164</v>
      </c>
      <c r="B146" s="12" t="s">
        <v>588</v>
      </c>
      <c r="C146" s="12" t="s">
        <v>701</v>
      </c>
      <c r="D146" s="12" t="s">
        <v>701</v>
      </c>
      <c r="E146" s="12"/>
      <c r="F146" s="12" t="s">
        <v>701</v>
      </c>
      <c r="G146" s="12" t="s">
        <v>701</v>
      </c>
      <c r="H146" s="12" t="s">
        <v>701</v>
      </c>
      <c r="I146" s="12" t="s">
        <v>701</v>
      </c>
      <c r="J146" s="12"/>
      <c r="K146" s="12"/>
      <c r="L146" s="12"/>
      <c r="M146" s="12"/>
      <c r="N146" s="12"/>
      <c r="O146" s="12" t="s">
        <v>701</v>
      </c>
      <c r="P146" s="12"/>
      <c r="Q146" s="12" t="s">
        <v>701</v>
      </c>
      <c r="R146" s="12"/>
      <c r="S146" s="12" t="s">
        <v>701</v>
      </c>
      <c r="T146" s="12"/>
      <c r="U146" s="12" t="s">
        <v>701</v>
      </c>
      <c r="V146" s="12" t="s">
        <v>701</v>
      </c>
      <c r="W146" s="12" t="s">
        <v>701</v>
      </c>
      <c r="X146" s="12" t="s">
        <v>701</v>
      </c>
      <c r="Y146" s="12"/>
      <c r="Z146" s="12"/>
      <c r="AA146" s="12"/>
      <c r="AB146" s="12"/>
      <c r="AC146" s="12" t="str">
        <f>IF(OR(NOT(ISBLANK(AF146)), NOT(ISBLANK(AG146)), NOT(ISBLANK(AQ146)), NOT(ISBLANK(AN146))), "x", "")</f>
        <v>x</v>
      </c>
      <c r="AD146" s="12" t="s">
        <v>701</v>
      </c>
      <c r="AE146" s="12"/>
      <c r="AF146" s="12" t="s">
        <v>701</v>
      </c>
      <c r="AG146" s="12" t="s">
        <v>701</v>
      </c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spans="1:43" ht="13.5">
      <c r="A147" s="11" t="s">
        <v>165</v>
      </c>
      <c r="B147" s="12" t="s">
        <v>587</v>
      </c>
      <c r="C147" s="12" t="s">
        <v>701</v>
      </c>
      <c r="D147" s="12" t="s">
        <v>701</v>
      </c>
      <c r="E147" s="12"/>
      <c r="F147" s="12" t="s">
        <v>701</v>
      </c>
      <c r="G147" s="12" t="s">
        <v>701</v>
      </c>
      <c r="H147" s="12" t="s">
        <v>701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 t="s">
        <v>701</v>
      </c>
      <c r="W147" s="12"/>
      <c r="X147" s="12"/>
      <c r="Y147" s="12"/>
      <c r="Z147" s="12"/>
      <c r="AA147" s="12"/>
      <c r="AB147" s="12"/>
      <c r="AC147" s="12" t="str">
        <f>IF(OR(NOT(ISBLANK(AF147)), NOT(ISBLANK(AG147)), NOT(ISBLANK(AQ147)), NOT(ISBLANK(AN147))), "x", "")</f>
        <v>x</v>
      </c>
      <c r="AD147" s="12" t="s">
        <v>701</v>
      </c>
      <c r="AE147" s="12"/>
      <c r="AF147" s="12" t="s">
        <v>701</v>
      </c>
      <c r="AG147" s="12" t="s">
        <v>701</v>
      </c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spans="1:43" ht="13.5">
      <c r="A148" s="11" t="s">
        <v>166</v>
      </c>
      <c r="B148" s="12" t="s">
        <v>591</v>
      </c>
      <c r="C148" s="12"/>
      <c r="D148" s="12" t="s">
        <v>701</v>
      </c>
      <c r="E148" s="12"/>
      <c r="F148" s="12"/>
      <c r="G148" s="12" t="s">
        <v>701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 t="s">
        <v>701</v>
      </c>
      <c r="AA148" s="12" t="s">
        <v>701</v>
      </c>
      <c r="AB148" s="12"/>
      <c r="AC148" s="12" t="str">
        <f>IF(OR(NOT(ISBLANK(AF148)), NOT(ISBLANK(AG148)), NOT(ISBLANK(AQ148)), NOT(ISBLANK(AN148))), "x", "")</f>
        <v>x</v>
      </c>
      <c r="AD148" s="12" t="s">
        <v>701</v>
      </c>
      <c r="AE148" s="12"/>
      <c r="AF148" s="12"/>
      <c r="AG148" s="12" t="s">
        <v>701</v>
      </c>
      <c r="AH148" s="12"/>
      <c r="AI148" s="12"/>
      <c r="AJ148" s="12"/>
      <c r="AK148" s="12"/>
      <c r="AL148" s="12"/>
      <c r="AM148" s="12" t="s">
        <v>701</v>
      </c>
      <c r="AN148" s="12"/>
      <c r="AO148" s="12"/>
      <c r="AP148" s="12" t="s">
        <v>701</v>
      </c>
      <c r="AQ148" s="12"/>
    </row>
    <row r="149" spans="1:43" ht="13.5">
      <c r="A149" s="11" t="s">
        <v>167</v>
      </c>
      <c r="B149" s="12" t="s">
        <v>587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 t="str">
        <f>IF(OR(NOT(ISBLANK(AF149)), NOT(ISBLANK(AG149)), NOT(ISBLANK(AQ149)), NOT(ISBLANK(AN149))), "x", "")</f>
        <v/>
      </c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spans="1:43" ht="13.5">
      <c r="A150" s="11" t="s">
        <v>168</v>
      </c>
      <c r="B150" s="12" t="s">
        <v>587</v>
      </c>
      <c r="C150" s="12" t="s">
        <v>701</v>
      </c>
      <c r="D150" s="12" t="s">
        <v>701</v>
      </c>
      <c r="E150" s="12"/>
      <c r="F150" s="12" t="s">
        <v>701</v>
      </c>
      <c r="G150" s="12" t="s">
        <v>701</v>
      </c>
      <c r="H150" s="12" t="s">
        <v>701</v>
      </c>
      <c r="I150" s="12" t="s">
        <v>701</v>
      </c>
      <c r="J150" s="12"/>
      <c r="K150" s="12"/>
      <c r="L150" s="12"/>
      <c r="M150" s="12" t="s">
        <v>701</v>
      </c>
      <c r="N150" s="12"/>
      <c r="O150" s="12" t="s">
        <v>701</v>
      </c>
      <c r="P150" s="12"/>
      <c r="Q150" s="12" t="s">
        <v>701</v>
      </c>
      <c r="R150" s="12"/>
      <c r="S150" s="12" t="s">
        <v>701</v>
      </c>
      <c r="T150" s="12"/>
      <c r="U150" s="12" t="s">
        <v>701</v>
      </c>
      <c r="V150" s="12" t="s">
        <v>701</v>
      </c>
      <c r="W150" s="12"/>
      <c r="X150" s="12"/>
      <c r="Y150" s="12"/>
      <c r="Z150" s="12"/>
      <c r="AA150" s="12" t="s">
        <v>701</v>
      </c>
      <c r="AB150" s="12"/>
      <c r="AC150" s="12" t="str" cm="1">
        <f t="array" ref="AC150">IF(OR(NOT(ISBLANK(AG15x)), NOT(ISBLANK(AH15x)), NOT(ISBLANK(AR15x)), NOT(ISBLANK(AO15x))), "x", "")</f>
        <v>x</v>
      </c>
      <c r="AD150" s="12" t="s">
        <v>701</v>
      </c>
      <c r="AE150" s="12"/>
      <c r="AF150" s="12" t="s">
        <v>701</v>
      </c>
      <c r="AG150" s="12" t="s">
        <v>701</v>
      </c>
      <c r="AH150" s="12"/>
      <c r="AI150" s="12"/>
      <c r="AJ150" s="12"/>
      <c r="AK150" s="12"/>
      <c r="AL150" s="12"/>
      <c r="AM150" s="12" t="s">
        <v>701</v>
      </c>
      <c r="AN150" s="12"/>
      <c r="AO150" s="12" t="s">
        <v>701</v>
      </c>
      <c r="AP150" s="12" t="s">
        <v>701</v>
      </c>
      <c r="AQ150" s="12" t="s">
        <v>701</v>
      </c>
    </row>
    <row r="151" spans="1:43" ht="13.5">
      <c r="A151" s="11" t="s">
        <v>169</v>
      </c>
      <c r="B151" s="12" t="s">
        <v>587</v>
      </c>
      <c r="C151" s="12" t="s">
        <v>701</v>
      </c>
      <c r="D151" s="12" t="s">
        <v>701</v>
      </c>
      <c r="E151" s="12"/>
      <c r="F151" s="12" t="s">
        <v>701</v>
      </c>
      <c r="G151" s="12" t="s">
        <v>701</v>
      </c>
      <c r="H151" s="12" t="s">
        <v>701</v>
      </c>
      <c r="I151" s="12" t="s">
        <v>701</v>
      </c>
      <c r="J151" s="12"/>
      <c r="K151" s="12"/>
      <c r="L151" s="12"/>
      <c r="M151" s="12" t="s">
        <v>701</v>
      </c>
      <c r="N151" s="12"/>
      <c r="O151" s="12" t="s">
        <v>701</v>
      </c>
      <c r="P151" s="12"/>
      <c r="Q151" s="12" t="s">
        <v>701</v>
      </c>
      <c r="R151" s="12"/>
      <c r="S151" s="12" t="s">
        <v>701</v>
      </c>
      <c r="T151" s="12"/>
      <c r="U151" s="12" t="s">
        <v>701</v>
      </c>
      <c r="V151" s="12" t="s">
        <v>701</v>
      </c>
      <c r="W151" s="12"/>
      <c r="X151" s="12"/>
      <c r="Y151" s="12"/>
      <c r="Z151" s="12"/>
      <c r="AA151" s="12" t="s">
        <v>701</v>
      </c>
      <c r="AB151" s="12"/>
      <c r="AC151" s="12" t="str">
        <f>IF(OR(NOT(ISBLANK(AF151)), NOT(ISBLANK(AG151)), NOT(ISBLANK(AQ151)), NOT(ISBLANK(AN151))), "x", "")</f>
        <v>x</v>
      </c>
      <c r="AD151" s="12" t="s">
        <v>701</v>
      </c>
      <c r="AE151" s="12"/>
      <c r="AF151" s="12" t="s">
        <v>701</v>
      </c>
      <c r="AG151" s="12" t="s">
        <v>701</v>
      </c>
      <c r="AH151" s="12"/>
      <c r="AI151" s="12"/>
      <c r="AJ151" s="12"/>
      <c r="AK151" s="12"/>
      <c r="AL151" s="12"/>
      <c r="AM151" s="12" t="s">
        <v>701</v>
      </c>
      <c r="AN151" s="12"/>
      <c r="AO151" s="12" t="s">
        <v>701</v>
      </c>
      <c r="AP151" s="12" t="s">
        <v>701</v>
      </c>
      <c r="AQ151" s="12" t="s">
        <v>701</v>
      </c>
    </row>
    <row r="152" spans="1:43" ht="13.5">
      <c r="A152" s="11" t="s">
        <v>170</v>
      </c>
      <c r="B152" s="12" t="s">
        <v>587</v>
      </c>
      <c r="C152" s="12" t="s">
        <v>701</v>
      </c>
      <c r="D152" s="12" t="s">
        <v>701</v>
      </c>
      <c r="E152" s="12"/>
      <c r="F152" s="12" t="s">
        <v>701</v>
      </c>
      <c r="G152" s="12" t="s">
        <v>701</v>
      </c>
      <c r="H152" s="12" t="s">
        <v>701</v>
      </c>
      <c r="I152" s="12" t="s">
        <v>701</v>
      </c>
      <c r="J152" s="12"/>
      <c r="K152" s="12"/>
      <c r="L152" s="12"/>
      <c r="M152" s="12" t="s">
        <v>701</v>
      </c>
      <c r="N152" s="12"/>
      <c r="O152" s="12" t="s">
        <v>701</v>
      </c>
      <c r="P152" s="12"/>
      <c r="Q152" s="12" t="s">
        <v>701</v>
      </c>
      <c r="R152" s="12"/>
      <c r="S152" s="12" t="s">
        <v>701</v>
      </c>
      <c r="T152" s="12"/>
      <c r="U152" s="12" t="s">
        <v>701</v>
      </c>
      <c r="V152" s="12" t="s">
        <v>701</v>
      </c>
      <c r="W152" s="12"/>
      <c r="X152" s="12"/>
      <c r="Y152" s="12"/>
      <c r="Z152" s="12"/>
      <c r="AA152" s="12" t="s">
        <v>701</v>
      </c>
      <c r="AB152" s="12"/>
      <c r="AC152" s="12" t="str">
        <f>IF(OR(NOT(ISBLANK(AF152)), NOT(ISBLANK(AG152)), NOT(ISBLANK(AQ152)), NOT(ISBLANK(AN152))), "x", "")</f>
        <v>x</v>
      </c>
      <c r="AD152" s="12" t="s">
        <v>701</v>
      </c>
      <c r="AE152" s="12"/>
      <c r="AF152" s="12" t="s">
        <v>701</v>
      </c>
      <c r="AG152" s="12" t="s">
        <v>701</v>
      </c>
      <c r="AH152" s="12"/>
      <c r="AI152" s="12"/>
      <c r="AJ152" s="12"/>
      <c r="AK152" s="12"/>
      <c r="AL152" s="12"/>
      <c r="AM152" s="12" t="s">
        <v>701</v>
      </c>
      <c r="AN152" s="12"/>
      <c r="AO152" s="12" t="s">
        <v>701</v>
      </c>
      <c r="AP152" s="12" t="s">
        <v>701</v>
      </c>
      <c r="AQ152" s="12" t="s">
        <v>701</v>
      </c>
    </row>
    <row r="153" spans="1:43" ht="13.5">
      <c r="A153" s="11" t="s">
        <v>171</v>
      </c>
      <c r="B153" s="12" t="s">
        <v>589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 t="str">
        <f>IF(OR(NOT(ISBLANK(AF153)), NOT(ISBLANK(AG153)), NOT(ISBLANK(AQ153)), NOT(ISBLANK(AN153))), "x", "")</f>
        <v/>
      </c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spans="1:43" ht="13.5">
      <c r="A154" s="11" t="s">
        <v>172</v>
      </c>
      <c r="B154" s="12" t="s">
        <v>604</v>
      </c>
      <c r="C154" s="12" t="s">
        <v>701</v>
      </c>
      <c r="D154" s="12"/>
      <c r="E154" s="12"/>
      <c r="F154" s="12"/>
      <c r="G154" s="12" t="s">
        <v>701</v>
      </c>
      <c r="H154" s="12" t="s">
        <v>701</v>
      </c>
      <c r="I154" s="12" t="s">
        <v>701</v>
      </c>
      <c r="J154" s="12" t="s">
        <v>701</v>
      </c>
      <c r="K154" s="12"/>
      <c r="L154" s="12"/>
      <c r="M154" s="12"/>
      <c r="N154" s="12"/>
      <c r="O154" s="12" t="s">
        <v>701</v>
      </c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 t="str">
        <f>IF(OR(NOT(ISBLANK(AF154)), NOT(ISBLANK(AG154)), NOT(ISBLANK(AQ154)), NOT(ISBLANK(AN154))), "x", "")</f>
        <v/>
      </c>
      <c r="AD154" s="12" t="s">
        <v>701</v>
      </c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spans="1:43" ht="13.5">
      <c r="A155" s="11" t="s">
        <v>173</v>
      </c>
      <c r="B155" s="12" t="s">
        <v>589</v>
      </c>
      <c r="C155" s="12" t="s">
        <v>701</v>
      </c>
      <c r="D155" s="12" t="s">
        <v>701</v>
      </c>
      <c r="E155" s="12"/>
      <c r="F155" s="12"/>
      <c r="G155" s="12" t="s">
        <v>701</v>
      </c>
      <c r="H155" s="12" t="s">
        <v>701</v>
      </c>
      <c r="I155" s="12" t="s">
        <v>701</v>
      </c>
      <c r="J155" s="12"/>
      <c r="K155" s="12"/>
      <c r="L155" s="12"/>
      <c r="M155" s="12"/>
      <c r="N155" s="12"/>
      <c r="O155" s="12" t="s">
        <v>701</v>
      </c>
      <c r="P155" s="12"/>
      <c r="Q155" s="12" t="s">
        <v>701</v>
      </c>
      <c r="R155" s="12"/>
      <c r="S155" s="12" t="s">
        <v>701</v>
      </c>
      <c r="T155" s="12"/>
      <c r="U155" s="12"/>
      <c r="V155" s="12" t="s">
        <v>701</v>
      </c>
      <c r="W155" s="12" t="s">
        <v>701</v>
      </c>
      <c r="X155" s="12" t="s">
        <v>701</v>
      </c>
      <c r="Y155" s="12" t="s">
        <v>701</v>
      </c>
      <c r="Z155" s="12" t="s">
        <v>701</v>
      </c>
      <c r="AA155" s="12"/>
      <c r="AB155" s="12"/>
      <c r="AC155" s="12" t="str">
        <f>IF(OR(NOT(ISBLANK(AF155)), NOT(ISBLANK(AG155)), NOT(ISBLANK(AQ155)), NOT(ISBLANK(AN155))), "x", "")</f>
        <v/>
      </c>
      <c r="AD155" s="12" t="s">
        <v>701</v>
      </c>
      <c r="AE155" s="12"/>
      <c r="AF155" s="12"/>
      <c r="AG155" s="12"/>
      <c r="AH155" s="12" t="s">
        <v>701</v>
      </c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spans="1:43" ht="13.5">
      <c r="A156" s="11" t="s">
        <v>174</v>
      </c>
      <c r="B156" s="12" t="s">
        <v>589</v>
      </c>
      <c r="C156" s="12" t="s">
        <v>701</v>
      </c>
      <c r="D156" s="12" t="s">
        <v>701</v>
      </c>
      <c r="E156" s="12"/>
      <c r="F156" s="12"/>
      <c r="G156" s="12" t="s">
        <v>701</v>
      </c>
      <c r="H156" s="12" t="s">
        <v>701</v>
      </c>
      <c r="I156" s="12" t="s">
        <v>701</v>
      </c>
      <c r="J156" s="12"/>
      <c r="K156" s="12"/>
      <c r="L156" s="12"/>
      <c r="M156" s="12"/>
      <c r="N156" s="12"/>
      <c r="O156" s="12" t="s">
        <v>701</v>
      </c>
      <c r="P156" s="12"/>
      <c r="Q156" s="12" t="s">
        <v>701</v>
      </c>
      <c r="R156" s="12"/>
      <c r="S156" s="12" t="s">
        <v>701</v>
      </c>
      <c r="T156" s="12" t="s">
        <v>701</v>
      </c>
      <c r="U156" s="12" t="s">
        <v>701</v>
      </c>
      <c r="V156" s="12" t="s">
        <v>701</v>
      </c>
      <c r="W156" s="12" t="s">
        <v>701</v>
      </c>
      <c r="X156" s="12" t="s">
        <v>701</v>
      </c>
      <c r="Y156" s="12" t="s">
        <v>701</v>
      </c>
      <c r="Z156" s="12" t="s">
        <v>701</v>
      </c>
      <c r="AA156" s="12"/>
      <c r="AB156" s="12"/>
      <c r="AC156" s="12" t="str">
        <f>IF(OR(NOT(ISBLANK(AF156)), NOT(ISBLANK(AG156)), NOT(ISBLANK(AQ156)), NOT(ISBLANK(AN156))), "x", "")</f>
        <v/>
      </c>
      <c r="AD156" s="12" t="s">
        <v>701</v>
      </c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spans="1:43" ht="13.5">
      <c r="A157" s="11" t="s">
        <v>175</v>
      </c>
      <c r="B157" s="12" t="s">
        <v>593</v>
      </c>
      <c r="C157" s="12" t="s">
        <v>701</v>
      </c>
      <c r="D157" s="12" t="s">
        <v>701</v>
      </c>
      <c r="E157" s="12"/>
      <c r="F157" s="12"/>
      <c r="G157" s="12" t="s">
        <v>701</v>
      </c>
      <c r="H157" s="12" t="s">
        <v>701</v>
      </c>
      <c r="I157" s="12" t="s">
        <v>701</v>
      </c>
      <c r="J157" s="12" t="s">
        <v>701</v>
      </c>
      <c r="K157" s="12"/>
      <c r="L157" s="12"/>
      <c r="M157" s="12"/>
      <c r="N157" s="12"/>
      <c r="O157" s="12" t="s">
        <v>701</v>
      </c>
      <c r="P157" s="12"/>
      <c r="Q157" s="12"/>
      <c r="R157" s="12"/>
      <c r="S157" s="12" t="s">
        <v>701</v>
      </c>
      <c r="T157" s="12"/>
      <c r="U157" s="12" t="s">
        <v>701</v>
      </c>
      <c r="V157" s="12" t="s">
        <v>701</v>
      </c>
      <c r="W157" s="12"/>
      <c r="X157" s="12"/>
      <c r="Y157" s="12" t="s">
        <v>701</v>
      </c>
      <c r="Z157" s="12" t="s">
        <v>701</v>
      </c>
      <c r="AA157" s="12" t="s">
        <v>701</v>
      </c>
      <c r="AB157" s="12" t="s">
        <v>701</v>
      </c>
      <c r="AC157" s="12" t="str">
        <f>IF(OR(NOT(ISBLANK(AF157)), NOT(ISBLANK(AG157)), NOT(ISBLANK(AQ157)), NOT(ISBLANK(AN157))), "x", "")</f>
        <v/>
      </c>
      <c r="AD157" s="12" t="s">
        <v>701</v>
      </c>
      <c r="AE157" s="12"/>
      <c r="AF157" s="12"/>
      <c r="AG157" s="12"/>
      <c r="AH157" s="12" t="s">
        <v>701</v>
      </c>
      <c r="AI157" s="12"/>
      <c r="AJ157" s="12"/>
      <c r="AK157" s="12"/>
      <c r="AL157" s="12"/>
      <c r="AM157" s="12" t="s">
        <v>701</v>
      </c>
      <c r="AN157" s="12"/>
      <c r="AO157" s="12" t="s">
        <v>701</v>
      </c>
      <c r="AP157" s="12" t="s">
        <v>701</v>
      </c>
      <c r="AQ157" s="12"/>
    </row>
    <row r="158" spans="1:43" ht="13.5">
      <c r="A158" s="11" t="s">
        <v>176</v>
      </c>
      <c r="B158" s="12" t="s">
        <v>593</v>
      </c>
      <c r="C158" s="12" t="s">
        <v>701</v>
      </c>
      <c r="D158" s="12" t="s">
        <v>701</v>
      </c>
      <c r="E158" s="12"/>
      <c r="F158" s="12"/>
      <c r="G158" s="12" t="s">
        <v>701</v>
      </c>
      <c r="H158" s="12" t="s">
        <v>701</v>
      </c>
      <c r="I158" s="12" t="s">
        <v>701</v>
      </c>
      <c r="J158" s="12" t="s">
        <v>701</v>
      </c>
      <c r="K158" s="12"/>
      <c r="L158" s="12"/>
      <c r="M158" s="12"/>
      <c r="N158" s="12"/>
      <c r="O158" s="12" t="s">
        <v>701</v>
      </c>
      <c r="P158" s="12"/>
      <c r="Q158" s="12"/>
      <c r="R158" s="12"/>
      <c r="S158" s="12" t="s">
        <v>701</v>
      </c>
      <c r="T158" s="12"/>
      <c r="U158" s="12"/>
      <c r="V158" s="12" t="s">
        <v>701</v>
      </c>
      <c r="W158" s="12"/>
      <c r="X158" s="12"/>
      <c r="Y158" s="12" t="s">
        <v>701</v>
      </c>
      <c r="Z158" s="12"/>
      <c r="AA158" s="12" t="s">
        <v>701</v>
      </c>
      <c r="AB158" s="12" t="s">
        <v>701</v>
      </c>
      <c r="AC158" s="12" t="str">
        <f>IF(OR(NOT(ISBLANK(AF158)), NOT(ISBLANK(AG158)), NOT(ISBLANK(AQ158)), NOT(ISBLANK(AN158))), "x", "")</f>
        <v/>
      </c>
      <c r="AD158" s="12" t="s">
        <v>701</v>
      </c>
      <c r="AE158" s="12"/>
      <c r="AF158" s="12"/>
      <c r="AG158" s="12"/>
      <c r="AH158" s="12"/>
      <c r="AI158" s="12"/>
      <c r="AJ158" s="12"/>
      <c r="AK158" s="12"/>
      <c r="AL158" s="12"/>
      <c r="AM158" s="12" t="s">
        <v>701</v>
      </c>
      <c r="AN158" s="12"/>
      <c r="AO158" s="12" t="s">
        <v>701</v>
      </c>
      <c r="AP158" s="12" t="s">
        <v>701</v>
      </c>
      <c r="AQ158" s="12"/>
    </row>
    <row r="159" spans="1:43" ht="13.5">
      <c r="A159" s="11" t="s">
        <v>177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 t="str">
        <f>IF(OR(NOT(ISBLANK(AF159)), NOT(ISBLANK(AG159)), NOT(ISBLANK(AQ159)), NOT(ISBLANK(AN159))), "x", "")</f>
        <v/>
      </c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spans="1:43" ht="13.5">
      <c r="A160" s="11" t="s">
        <v>178</v>
      </c>
      <c r="B160" s="12" t="s">
        <v>587</v>
      </c>
      <c r="C160" s="12"/>
      <c r="D160" s="12" t="s">
        <v>701</v>
      </c>
      <c r="E160" s="12"/>
      <c r="F160" s="12" t="s">
        <v>701</v>
      </c>
      <c r="G160" s="12" t="s">
        <v>701</v>
      </c>
      <c r="H160" s="12" t="s">
        <v>701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 t="s">
        <v>701</v>
      </c>
      <c r="T160" s="12"/>
      <c r="U160" s="12"/>
      <c r="V160" s="12"/>
      <c r="W160" s="12" t="s">
        <v>701</v>
      </c>
      <c r="X160" s="12"/>
      <c r="Y160" s="12"/>
      <c r="Z160" s="12"/>
      <c r="AA160" s="12"/>
      <c r="AB160" s="12"/>
      <c r="AC160" s="12" t="str" cm="1">
        <f t="array" ref="AC160">IF(OR(NOT(ISBLANK(AG16x)), NOT(ISBLANK(AH16x)), NOT(ISBLANK(AR16x)), NOT(ISBLANK(AO16x))), "x", "")</f>
        <v>x</v>
      </c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spans="1:43" ht="13.5">
      <c r="A161" s="11" t="s">
        <v>179</v>
      </c>
      <c r="B161" s="12" t="s">
        <v>588</v>
      </c>
      <c r="C161" s="12" t="s">
        <v>701</v>
      </c>
      <c r="D161" s="12" t="s">
        <v>701</v>
      </c>
      <c r="E161" s="12"/>
      <c r="F161" s="12"/>
      <c r="G161" s="12" t="s">
        <v>701</v>
      </c>
      <c r="H161" s="12"/>
      <c r="I161" s="12" t="s">
        <v>701</v>
      </c>
      <c r="J161" s="12"/>
      <c r="K161" s="12"/>
      <c r="L161" s="12"/>
      <c r="M161" s="12"/>
      <c r="N161" s="12"/>
      <c r="O161" s="12" t="s">
        <v>701</v>
      </c>
      <c r="P161" s="12"/>
      <c r="Q161" s="12"/>
      <c r="R161" s="12"/>
      <c r="S161" s="12"/>
      <c r="T161" s="12"/>
      <c r="U161" s="12"/>
      <c r="V161" s="12" t="s">
        <v>701</v>
      </c>
      <c r="W161" s="12" t="s">
        <v>701</v>
      </c>
      <c r="X161" s="12" t="s">
        <v>701</v>
      </c>
      <c r="Y161" s="12" t="s">
        <v>701</v>
      </c>
      <c r="Z161" s="12" t="s">
        <v>701</v>
      </c>
      <c r="AA161" s="12" t="s">
        <v>701</v>
      </c>
      <c r="AB161" s="12" t="s">
        <v>701</v>
      </c>
      <c r="AC161" s="12" t="str">
        <f>IF(OR(NOT(ISBLANK(AF161)), NOT(ISBLANK(AG161)), NOT(ISBLANK(AQ161)), NOT(ISBLANK(AN161))), "x", "")</f>
        <v/>
      </c>
      <c r="AD161" s="12" t="s">
        <v>701</v>
      </c>
      <c r="AE161" s="12"/>
      <c r="AF161" s="12"/>
      <c r="AG161" s="12"/>
      <c r="AH161" s="12"/>
      <c r="AI161" s="12"/>
      <c r="AJ161" s="12"/>
      <c r="AK161" s="12"/>
      <c r="AL161" s="12"/>
      <c r="AM161" s="12" t="s">
        <v>701</v>
      </c>
      <c r="AN161" s="12"/>
      <c r="AO161" s="12"/>
      <c r="AP161" s="12"/>
      <c r="AQ161" s="12"/>
    </row>
    <row r="162" spans="1:43" ht="13.5">
      <c r="A162" s="11" t="s">
        <v>180</v>
      </c>
      <c r="B162" s="12" t="s">
        <v>605</v>
      </c>
      <c r="C162" s="12" t="s">
        <v>701</v>
      </c>
      <c r="D162" s="12" t="s">
        <v>701</v>
      </c>
      <c r="E162" s="12"/>
      <c r="F162" s="12"/>
      <c r="G162" s="12"/>
      <c r="H162" s="12" t="s">
        <v>701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 t="str">
        <f>IF(OR(NOT(ISBLANK(AF162)), NOT(ISBLANK(AG162)), NOT(ISBLANK(AQ162)), NOT(ISBLANK(AN162))), "x", "")</f>
        <v>x</v>
      </c>
      <c r="AD162" s="12" t="s">
        <v>701</v>
      </c>
      <c r="AE162" s="12"/>
      <c r="AF162" s="12"/>
      <c r="AG162" s="12"/>
      <c r="AH162" s="12"/>
      <c r="AI162" s="12"/>
      <c r="AJ162" s="12"/>
      <c r="AK162" s="12"/>
      <c r="AL162" s="12"/>
      <c r="AM162" s="12" t="s">
        <v>701</v>
      </c>
      <c r="AN162" s="12"/>
      <c r="AO162" s="12" t="s">
        <v>701</v>
      </c>
      <c r="AP162" s="12" t="s">
        <v>701</v>
      </c>
      <c r="AQ162" s="12" t="s">
        <v>701</v>
      </c>
    </row>
    <row r="163" spans="1:43" ht="13.5">
      <c r="A163" s="11" t="s">
        <v>181</v>
      </c>
      <c r="B163" s="12" t="s">
        <v>605</v>
      </c>
      <c r="C163" s="12" t="s">
        <v>701</v>
      </c>
      <c r="D163" s="12" t="s">
        <v>701</v>
      </c>
      <c r="E163" s="12"/>
      <c r="F163" s="12" t="s">
        <v>701</v>
      </c>
      <c r="G163" s="12"/>
      <c r="H163" s="12" t="s">
        <v>701</v>
      </c>
      <c r="I163" s="12" t="s">
        <v>701</v>
      </c>
      <c r="J163" s="12" t="s">
        <v>701</v>
      </c>
      <c r="K163" s="12"/>
      <c r="L163" s="12"/>
      <c r="M163" s="12"/>
      <c r="N163" s="12"/>
      <c r="O163" s="12" t="s">
        <v>701</v>
      </c>
      <c r="P163" s="12"/>
      <c r="Q163" s="12"/>
      <c r="R163" s="12"/>
      <c r="S163" s="12" t="s">
        <v>701</v>
      </c>
      <c r="T163" s="12"/>
      <c r="U163" s="12"/>
      <c r="V163" s="12" t="s">
        <v>701</v>
      </c>
      <c r="W163" s="12"/>
      <c r="X163" s="12" t="s">
        <v>701</v>
      </c>
      <c r="Y163" s="12" t="s">
        <v>701</v>
      </c>
      <c r="Z163" s="12" t="s">
        <v>701</v>
      </c>
      <c r="AA163" s="12" t="s">
        <v>701</v>
      </c>
      <c r="AB163" s="12"/>
      <c r="AC163" s="12" t="str">
        <f>IF(OR(NOT(ISBLANK(AF163)), NOT(ISBLANK(AG163)), NOT(ISBLANK(AQ163)), NOT(ISBLANK(AN163))), "x", "")</f>
        <v>x</v>
      </c>
      <c r="AD163" s="12" t="s">
        <v>701</v>
      </c>
      <c r="AE163" s="12" t="s">
        <v>701</v>
      </c>
      <c r="AF163" s="12" t="s">
        <v>701</v>
      </c>
      <c r="AG163" s="12" t="s">
        <v>701</v>
      </c>
      <c r="AH163" s="12" t="s">
        <v>701</v>
      </c>
      <c r="AI163" s="12"/>
      <c r="AJ163" s="12"/>
      <c r="AK163" s="12"/>
      <c r="AL163" s="12"/>
      <c r="AM163" s="12" t="s">
        <v>701</v>
      </c>
      <c r="AN163" s="12"/>
      <c r="AO163" s="12" t="s">
        <v>701</v>
      </c>
      <c r="AP163" s="12" t="s">
        <v>701</v>
      </c>
      <c r="AQ163" s="12" t="s">
        <v>701</v>
      </c>
    </row>
    <row r="164" spans="1:43" ht="13.5">
      <c r="A164" s="11" t="s">
        <v>182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 t="str">
        <f>IF(OR(NOT(ISBLANK(AF164)), NOT(ISBLANK(AG164)), NOT(ISBLANK(AQ164)), NOT(ISBLANK(AN164))), "x", "")</f>
        <v/>
      </c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spans="1:43" ht="13.5">
      <c r="A165" s="11" t="s">
        <v>183</v>
      </c>
      <c r="B165" s="12" t="s">
        <v>587</v>
      </c>
      <c r="C165" s="12"/>
      <c r="D165" s="12" t="s">
        <v>701</v>
      </c>
      <c r="E165" s="12"/>
      <c r="F165" s="12" t="s">
        <v>701</v>
      </c>
      <c r="G165" s="12" t="s">
        <v>701</v>
      </c>
      <c r="H165" s="12" t="s">
        <v>701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 t="s">
        <v>701</v>
      </c>
      <c r="T165" s="12"/>
      <c r="U165" s="12"/>
      <c r="V165" s="12"/>
      <c r="W165" s="12" t="s">
        <v>701</v>
      </c>
      <c r="X165" s="12"/>
      <c r="Y165" s="12"/>
      <c r="Z165" s="12"/>
      <c r="AA165" s="12"/>
      <c r="AB165" s="12"/>
      <c r="AC165" s="12" t="str">
        <f>IF(OR(NOT(ISBLANK(AF165)), NOT(ISBLANK(AG165)), NOT(ISBLANK(AQ165)), NOT(ISBLANK(AN165))), "x", "")</f>
        <v/>
      </c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spans="1:43" ht="13.5">
      <c r="A166" s="11" t="s">
        <v>184</v>
      </c>
      <c r="B166" s="12" t="s">
        <v>588</v>
      </c>
      <c r="C166" s="12" t="s">
        <v>701</v>
      </c>
      <c r="D166" s="12" t="s">
        <v>701</v>
      </c>
      <c r="E166" s="12"/>
      <c r="F166" s="12"/>
      <c r="G166" s="12" t="s">
        <v>701</v>
      </c>
      <c r="H166" s="12"/>
      <c r="I166" s="12" t="s">
        <v>701</v>
      </c>
      <c r="J166" s="12"/>
      <c r="K166" s="12"/>
      <c r="L166" s="12"/>
      <c r="M166" s="12"/>
      <c r="N166" s="12"/>
      <c r="O166" s="12" t="s">
        <v>701</v>
      </c>
      <c r="P166" s="12"/>
      <c r="Q166" s="12"/>
      <c r="R166" s="12"/>
      <c r="S166" s="12"/>
      <c r="T166" s="12"/>
      <c r="U166" s="12"/>
      <c r="V166" s="12" t="s">
        <v>701</v>
      </c>
      <c r="W166" s="12" t="s">
        <v>701</v>
      </c>
      <c r="X166" s="12" t="s">
        <v>701</v>
      </c>
      <c r="Y166" s="12" t="s">
        <v>701</v>
      </c>
      <c r="Z166" s="12" t="s">
        <v>701</v>
      </c>
      <c r="AA166" s="12" t="s">
        <v>701</v>
      </c>
      <c r="AB166" s="12" t="s">
        <v>701</v>
      </c>
      <c r="AC166" s="12" t="str">
        <f>IF(OR(NOT(ISBLANK(AF166)), NOT(ISBLANK(AG166)), NOT(ISBLANK(AQ166)), NOT(ISBLANK(AN166))), "x", "")</f>
        <v/>
      </c>
      <c r="AD166" s="12" t="s">
        <v>701</v>
      </c>
      <c r="AE166" s="12"/>
      <c r="AF166" s="12"/>
      <c r="AG166" s="12"/>
      <c r="AH166" s="12"/>
      <c r="AI166" s="12"/>
      <c r="AJ166" s="12"/>
      <c r="AK166" s="12"/>
      <c r="AL166" s="12"/>
      <c r="AM166" s="12" t="s">
        <v>701</v>
      </c>
      <c r="AN166" s="12"/>
      <c r="AO166" s="12"/>
      <c r="AP166" s="12"/>
      <c r="AQ166" s="12"/>
    </row>
    <row r="167" spans="1:43" ht="13.5">
      <c r="A167" s="11" t="s">
        <v>185</v>
      </c>
      <c r="B167" s="12" t="s">
        <v>587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 t="str">
        <f>IF(OR(NOT(ISBLANK(AF167)), NOT(ISBLANK(AG167)), NOT(ISBLANK(AQ167)), NOT(ISBLANK(AN167))), "x", "")</f>
        <v/>
      </c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spans="1:43" ht="13.5">
      <c r="A168" s="11" t="s">
        <v>186</v>
      </c>
      <c r="B168" s="12" t="s">
        <v>587</v>
      </c>
      <c r="C168" s="12" t="s">
        <v>701</v>
      </c>
      <c r="D168" s="12" t="s">
        <v>701</v>
      </c>
      <c r="E168" s="12"/>
      <c r="F168" s="12" t="s">
        <v>701</v>
      </c>
      <c r="G168" s="12" t="s">
        <v>701</v>
      </c>
      <c r="H168" s="12" t="s">
        <v>701</v>
      </c>
      <c r="I168" s="12"/>
      <c r="J168" s="12" t="s">
        <v>701</v>
      </c>
      <c r="K168" s="12"/>
      <c r="L168" s="12"/>
      <c r="M168" s="12" t="s">
        <v>701</v>
      </c>
      <c r="N168" s="12"/>
      <c r="O168" s="12" t="s">
        <v>701</v>
      </c>
      <c r="P168" s="12"/>
      <c r="Q168" s="12" t="s">
        <v>701</v>
      </c>
      <c r="R168" s="12"/>
      <c r="S168" s="12" t="s">
        <v>701</v>
      </c>
      <c r="T168" s="12"/>
      <c r="U168" s="12" t="s">
        <v>701</v>
      </c>
      <c r="V168" s="12" t="s">
        <v>701</v>
      </c>
      <c r="W168" s="12"/>
      <c r="X168" s="12"/>
      <c r="Y168" s="12" t="s">
        <v>701</v>
      </c>
      <c r="Z168" s="12"/>
      <c r="AA168" s="12"/>
      <c r="AB168" s="12"/>
      <c r="AC168" s="12" t="str">
        <f>IF(OR(NOT(ISBLANK(AF168)), NOT(ISBLANK(AG168)), NOT(ISBLANK(AQ168)), NOT(ISBLANK(AN168))), "x", "")</f>
        <v>x</v>
      </c>
      <c r="AD168" s="12" t="s">
        <v>701</v>
      </c>
      <c r="AE168" s="12" t="s">
        <v>701</v>
      </c>
      <c r="AF168" s="12" t="s">
        <v>701</v>
      </c>
      <c r="AG168" s="12" t="s">
        <v>701</v>
      </c>
      <c r="AH168" s="12"/>
      <c r="AI168" s="12"/>
      <c r="AJ168" s="12"/>
      <c r="AK168" s="12"/>
      <c r="AL168" s="12"/>
      <c r="AM168" s="12" t="s">
        <v>701</v>
      </c>
      <c r="AN168" s="12"/>
      <c r="AO168" s="12" t="s">
        <v>701</v>
      </c>
      <c r="AP168" s="12" t="s">
        <v>701</v>
      </c>
      <c r="AQ168" s="12" t="s">
        <v>701</v>
      </c>
    </row>
    <row r="169" spans="1:43" ht="13.5">
      <c r="A169" s="11" t="s">
        <v>187</v>
      </c>
      <c r="B169" s="12" t="s">
        <v>587</v>
      </c>
      <c r="C169" s="12" t="s">
        <v>701</v>
      </c>
      <c r="D169" s="12" t="s">
        <v>701</v>
      </c>
      <c r="E169" s="12"/>
      <c r="F169" s="12" t="s">
        <v>701</v>
      </c>
      <c r="G169" s="12" t="s">
        <v>701</v>
      </c>
      <c r="H169" s="12" t="s">
        <v>701</v>
      </c>
      <c r="I169" s="12"/>
      <c r="J169" s="12" t="s">
        <v>701</v>
      </c>
      <c r="K169" s="12"/>
      <c r="L169" s="12"/>
      <c r="M169" s="12" t="s">
        <v>701</v>
      </c>
      <c r="N169" s="12"/>
      <c r="O169" s="12" t="s">
        <v>701</v>
      </c>
      <c r="P169" s="12"/>
      <c r="Q169" s="12" t="s">
        <v>701</v>
      </c>
      <c r="R169" s="12"/>
      <c r="S169" s="12" t="s">
        <v>701</v>
      </c>
      <c r="T169" s="12"/>
      <c r="U169" s="12" t="s">
        <v>701</v>
      </c>
      <c r="V169" s="12" t="s">
        <v>701</v>
      </c>
      <c r="W169" s="12"/>
      <c r="X169" s="12"/>
      <c r="Y169" s="12" t="s">
        <v>701</v>
      </c>
      <c r="Z169" s="12"/>
      <c r="AA169" s="12"/>
      <c r="AB169" s="12"/>
      <c r="AC169" s="12" t="str">
        <f>IF(OR(NOT(ISBLANK(AF169)), NOT(ISBLANK(AG169)), NOT(ISBLANK(AQ169)), NOT(ISBLANK(AN169))), "x", "")</f>
        <v>x</v>
      </c>
      <c r="AD169" s="12" t="s">
        <v>701</v>
      </c>
      <c r="AE169" s="12" t="s">
        <v>701</v>
      </c>
      <c r="AF169" s="12" t="s">
        <v>701</v>
      </c>
      <c r="AG169" s="12" t="s">
        <v>701</v>
      </c>
      <c r="AH169" s="12"/>
      <c r="AI169" s="12"/>
      <c r="AJ169" s="12"/>
      <c r="AK169" s="12"/>
      <c r="AL169" s="12"/>
      <c r="AM169" s="12" t="s">
        <v>701</v>
      </c>
      <c r="AN169" s="12"/>
      <c r="AO169" s="12" t="s">
        <v>701</v>
      </c>
      <c r="AP169" s="12" t="s">
        <v>701</v>
      </c>
      <c r="AQ169" s="12" t="s">
        <v>701</v>
      </c>
    </row>
    <row r="170" spans="1:43" ht="13.5">
      <c r="A170" s="11" t="s">
        <v>188</v>
      </c>
      <c r="B170" s="12" t="s">
        <v>587</v>
      </c>
      <c r="C170" s="12" t="s">
        <v>701</v>
      </c>
      <c r="D170" s="12" t="s">
        <v>701</v>
      </c>
      <c r="E170" s="12"/>
      <c r="F170" s="12" t="s">
        <v>701</v>
      </c>
      <c r="G170" s="12" t="s">
        <v>701</v>
      </c>
      <c r="H170" s="12" t="s">
        <v>701</v>
      </c>
      <c r="I170" s="12"/>
      <c r="J170" s="12" t="s">
        <v>701</v>
      </c>
      <c r="K170" s="12"/>
      <c r="L170" s="12"/>
      <c r="M170" s="12" t="s">
        <v>701</v>
      </c>
      <c r="N170" s="12"/>
      <c r="O170" s="12" t="s">
        <v>701</v>
      </c>
      <c r="P170" s="12"/>
      <c r="Q170" s="12" t="s">
        <v>701</v>
      </c>
      <c r="R170" s="12"/>
      <c r="S170" s="12" t="s">
        <v>701</v>
      </c>
      <c r="T170" s="12"/>
      <c r="U170" s="12" t="s">
        <v>701</v>
      </c>
      <c r="V170" s="12" t="s">
        <v>701</v>
      </c>
      <c r="W170" s="12"/>
      <c r="X170" s="12"/>
      <c r="Y170" s="12" t="s">
        <v>701</v>
      </c>
      <c r="Z170" s="12"/>
      <c r="AA170" s="12"/>
      <c r="AB170" s="12"/>
      <c r="AC170" s="12" t="str" cm="1">
        <f t="array" ref="AC170">IF(OR(NOT(ISBLANK(AG17x)), NOT(ISBLANK(AH17x)), NOT(ISBLANK(AR17x)), NOT(ISBLANK(AO17x))), "x", "")</f>
        <v>x</v>
      </c>
      <c r="AD170" s="12" t="s">
        <v>701</v>
      </c>
      <c r="AE170" s="12" t="s">
        <v>701</v>
      </c>
      <c r="AF170" s="12" t="s">
        <v>701</v>
      </c>
      <c r="AG170" s="12" t="s">
        <v>701</v>
      </c>
      <c r="AH170" s="12"/>
      <c r="AI170" s="12"/>
      <c r="AJ170" s="12"/>
      <c r="AK170" s="12"/>
      <c r="AL170" s="12"/>
      <c r="AM170" s="12" t="s">
        <v>701</v>
      </c>
      <c r="AN170" s="12"/>
      <c r="AO170" s="12" t="s">
        <v>701</v>
      </c>
      <c r="AP170" s="12" t="s">
        <v>701</v>
      </c>
      <c r="AQ170" s="12" t="s">
        <v>701</v>
      </c>
    </row>
    <row r="171" spans="1:43" ht="13.5">
      <c r="A171" s="11" t="s">
        <v>189</v>
      </c>
      <c r="B171" s="12" t="s">
        <v>587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 t="str">
        <f>IF(OR(NOT(ISBLANK(AF171)), NOT(ISBLANK(AG171)), NOT(ISBLANK(AQ171)), NOT(ISBLANK(AN171))), "x", "")</f>
        <v/>
      </c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spans="1:43" ht="13.5">
      <c r="A172" s="11" t="s">
        <v>190</v>
      </c>
      <c r="B172" s="12" t="s">
        <v>587</v>
      </c>
      <c r="C172" s="12" t="s">
        <v>701</v>
      </c>
      <c r="D172" s="12" t="s">
        <v>701</v>
      </c>
      <c r="E172" s="12"/>
      <c r="F172" s="12" t="s">
        <v>701</v>
      </c>
      <c r="G172" s="12" t="s">
        <v>701</v>
      </c>
      <c r="H172" s="12" t="s">
        <v>701</v>
      </c>
      <c r="I172" s="12"/>
      <c r="J172" s="12" t="s">
        <v>701</v>
      </c>
      <c r="K172" s="12"/>
      <c r="L172" s="12"/>
      <c r="M172" s="12" t="s">
        <v>701</v>
      </c>
      <c r="N172" s="12"/>
      <c r="O172" s="12" t="s">
        <v>701</v>
      </c>
      <c r="P172" s="12"/>
      <c r="Q172" s="12" t="s">
        <v>701</v>
      </c>
      <c r="R172" s="12"/>
      <c r="S172" s="12" t="s">
        <v>701</v>
      </c>
      <c r="T172" s="12"/>
      <c r="U172" s="12" t="s">
        <v>701</v>
      </c>
      <c r="V172" s="12" t="s">
        <v>701</v>
      </c>
      <c r="W172" s="12"/>
      <c r="X172" s="12"/>
      <c r="Y172" s="12" t="s">
        <v>701</v>
      </c>
      <c r="Z172" s="12"/>
      <c r="AA172" s="12"/>
      <c r="AB172" s="12"/>
      <c r="AC172" s="12" t="str">
        <f>IF(OR(NOT(ISBLANK(AF172)), NOT(ISBLANK(AG172)), NOT(ISBLANK(AQ172)), NOT(ISBLANK(AN172))), "x", "")</f>
        <v>x</v>
      </c>
      <c r="AD172" s="12" t="s">
        <v>701</v>
      </c>
      <c r="AE172" s="12" t="s">
        <v>701</v>
      </c>
      <c r="AF172" s="12" t="s">
        <v>701</v>
      </c>
      <c r="AG172" s="12" t="s">
        <v>701</v>
      </c>
      <c r="AH172" s="12"/>
      <c r="AI172" s="12"/>
      <c r="AJ172" s="12"/>
      <c r="AK172" s="12"/>
      <c r="AL172" s="12"/>
      <c r="AM172" s="12" t="s">
        <v>701</v>
      </c>
      <c r="AN172" s="12"/>
      <c r="AO172" s="12" t="s">
        <v>701</v>
      </c>
      <c r="AP172" s="12" t="s">
        <v>701</v>
      </c>
      <c r="AQ172" s="12" t="s">
        <v>701</v>
      </c>
    </row>
    <row r="173" spans="1:43" ht="13.5">
      <c r="A173" s="11" t="s">
        <v>191</v>
      </c>
      <c r="B173" s="12" t="s">
        <v>587</v>
      </c>
      <c r="C173" s="12" t="s">
        <v>701</v>
      </c>
      <c r="D173" s="12" t="s">
        <v>701</v>
      </c>
      <c r="E173" s="12"/>
      <c r="F173" s="12" t="s">
        <v>701</v>
      </c>
      <c r="G173" s="12" t="s">
        <v>701</v>
      </c>
      <c r="H173" s="12" t="s">
        <v>701</v>
      </c>
      <c r="I173" s="12"/>
      <c r="J173" s="12" t="s">
        <v>701</v>
      </c>
      <c r="K173" s="12"/>
      <c r="L173" s="12"/>
      <c r="M173" s="12" t="s">
        <v>701</v>
      </c>
      <c r="N173" s="12"/>
      <c r="O173" s="12" t="s">
        <v>701</v>
      </c>
      <c r="P173" s="12"/>
      <c r="Q173" s="12" t="s">
        <v>701</v>
      </c>
      <c r="R173" s="12"/>
      <c r="S173" s="12" t="s">
        <v>701</v>
      </c>
      <c r="T173" s="12"/>
      <c r="U173" s="12" t="s">
        <v>701</v>
      </c>
      <c r="V173" s="12" t="s">
        <v>701</v>
      </c>
      <c r="W173" s="12"/>
      <c r="X173" s="12"/>
      <c r="Y173" s="12" t="s">
        <v>701</v>
      </c>
      <c r="Z173" s="12"/>
      <c r="AA173" s="12"/>
      <c r="AB173" s="12"/>
      <c r="AC173" s="12" t="str">
        <f>IF(OR(NOT(ISBLANK(AF173)), NOT(ISBLANK(AG173)), NOT(ISBLANK(AQ173)), NOT(ISBLANK(AN173))), "x", "")</f>
        <v>x</v>
      </c>
      <c r="AD173" s="12" t="s">
        <v>701</v>
      </c>
      <c r="AE173" s="12" t="s">
        <v>701</v>
      </c>
      <c r="AF173" s="12" t="s">
        <v>701</v>
      </c>
      <c r="AG173" s="12" t="s">
        <v>701</v>
      </c>
      <c r="AH173" s="12"/>
      <c r="AI173" s="12"/>
      <c r="AJ173" s="12"/>
      <c r="AK173" s="12"/>
      <c r="AL173" s="12"/>
      <c r="AM173" s="12" t="s">
        <v>701</v>
      </c>
      <c r="AN173" s="12"/>
      <c r="AO173" s="12" t="s">
        <v>701</v>
      </c>
      <c r="AP173" s="12" t="s">
        <v>701</v>
      </c>
      <c r="AQ173" s="12" t="s">
        <v>701</v>
      </c>
    </row>
    <row r="174" spans="1:43" ht="13.5">
      <c r="A174" s="11" t="s">
        <v>192</v>
      </c>
      <c r="B174" s="12" t="s">
        <v>587</v>
      </c>
      <c r="C174" s="12" t="s">
        <v>701</v>
      </c>
      <c r="D174" s="12" t="s">
        <v>701</v>
      </c>
      <c r="E174" s="12"/>
      <c r="F174" s="12" t="s">
        <v>701</v>
      </c>
      <c r="G174" s="12" t="s">
        <v>701</v>
      </c>
      <c r="H174" s="12" t="s">
        <v>701</v>
      </c>
      <c r="I174" s="12"/>
      <c r="J174" s="12" t="s">
        <v>701</v>
      </c>
      <c r="K174" s="12"/>
      <c r="L174" s="12"/>
      <c r="M174" s="12" t="s">
        <v>701</v>
      </c>
      <c r="N174" s="12"/>
      <c r="O174" s="12" t="s">
        <v>701</v>
      </c>
      <c r="P174" s="12"/>
      <c r="Q174" s="12" t="s">
        <v>701</v>
      </c>
      <c r="R174" s="12"/>
      <c r="S174" s="12" t="s">
        <v>701</v>
      </c>
      <c r="T174" s="12"/>
      <c r="U174" s="12" t="s">
        <v>701</v>
      </c>
      <c r="V174" s="12" t="s">
        <v>701</v>
      </c>
      <c r="W174" s="12"/>
      <c r="X174" s="12"/>
      <c r="Y174" s="12" t="s">
        <v>701</v>
      </c>
      <c r="Z174" s="12"/>
      <c r="AA174" s="12"/>
      <c r="AB174" s="12"/>
      <c r="AC174" s="12" t="str">
        <f>IF(OR(NOT(ISBLANK(AF174)), NOT(ISBLANK(AG174)), NOT(ISBLANK(AQ174)), NOT(ISBLANK(AN174))), "x", "")</f>
        <v>x</v>
      </c>
      <c r="AD174" s="12" t="s">
        <v>701</v>
      </c>
      <c r="AE174" s="12" t="s">
        <v>701</v>
      </c>
      <c r="AF174" s="12" t="s">
        <v>701</v>
      </c>
      <c r="AG174" s="12" t="s">
        <v>701</v>
      </c>
      <c r="AH174" s="12"/>
      <c r="AI174" s="12"/>
      <c r="AJ174" s="12"/>
      <c r="AK174" s="12"/>
      <c r="AL174" s="12"/>
      <c r="AM174" s="12" t="s">
        <v>701</v>
      </c>
      <c r="AN174" s="12"/>
      <c r="AO174" s="12" t="s">
        <v>701</v>
      </c>
      <c r="AP174" s="12" t="s">
        <v>701</v>
      </c>
      <c r="AQ174" s="12" t="s">
        <v>701</v>
      </c>
    </row>
    <row r="175" spans="1:43" ht="13.5">
      <c r="A175" s="11" t="s">
        <v>193</v>
      </c>
      <c r="B175" s="12" t="s">
        <v>587</v>
      </c>
      <c r="C175" s="12" t="s">
        <v>701</v>
      </c>
      <c r="D175" s="12" t="s">
        <v>701</v>
      </c>
      <c r="E175" s="12"/>
      <c r="F175" s="12" t="s">
        <v>701</v>
      </c>
      <c r="G175" s="12" t="s">
        <v>701</v>
      </c>
      <c r="H175" s="12" t="s">
        <v>701</v>
      </c>
      <c r="I175" s="12"/>
      <c r="J175" s="12" t="s">
        <v>701</v>
      </c>
      <c r="K175" s="12"/>
      <c r="L175" s="12"/>
      <c r="M175" s="12" t="s">
        <v>701</v>
      </c>
      <c r="N175" s="12"/>
      <c r="O175" s="12" t="s">
        <v>701</v>
      </c>
      <c r="P175" s="12"/>
      <c r="Q175" s="12" t="s">
        <v>701</v>
      </c>
      <c r="R175" s="12"/>
      <c r="S175" s="12" t="s">
        <v>701</v>
      </c>
      <c r="T175" s="12"/>
      <c r="U175" s="12" t="s">
        <v>701</v>
      </c>
      <c r="V175" s="12" t="s">
        <v>701</v>
      </c>
      <c r="W175" s="12"/>
      <c r="X175" s="12"/>
      <c r="Y175" s="12" t="s">
        <v>701</v>
      </c>
      <c r="Z175" s="12"/>
      <c r="AA175" s="12"/>
      <c r="AB175" s="12"/>
      <c r="AC175" s="12" t="str">
        <f>IF(OR(NOT(ISBLANK(AF175)), NOT(ISBLANK(AG175)), NOT(ISBLANK(AQ175)), NOT(ISBLANK(AN175))), "x", "")</f>
        <v>x</v>
      </c>
      <c r="AD175" s="12" t="s">
        <v>701</v>
      </c>
      <c r="AE175" s="12" t="s">
        <v>701</v>
      </c>
      <c r="AF175" s="12" t="s">
        <v>701</v>
      </c>
      <c r="AG175" s="12" t="s">
        <v>701</v>
      </c>
      <c r="AH175" s="12"/>
      <c r="AI175" s="12"/>
      <c r="AJ175" s="12"/>
      <c r="AK175" s="12"/>
      <c r="AL175" s="12"/>
      <c r="AM175" s="12" t="s">
        <v>701</v>
      </c>
      <c r="AN175" s="12"/>
      <c r="AO175" s="12" t="s">
        <v>701</v>
      </c>
      <c r="AP175" s="12" t="s">
        <v>701</v>
      </c>
      <c r="AQ175" s="12" t="s">
        <v>701</v>
      </c>
    </row>
    <row r="176" spans="1:43" ht="13.5">
      <c r="A176" s="11" t="s">
        <v>194</v>
      </c>
      <c r="B176" s="12" t="s">
        <v>587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 t="str">
        <f>IF(OR(NOT(ISBLANK(AF176)), NOT(ISBLANK(AG176)), NOT(ISBLANK(AQ176)), NOT(ISBLANK(AN176))), "x", "")</f>
        <v/>
      </c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spans="1:43" ht="13.5">
      <c r="A177" s="11" t="s">
        <v>195</v>
      </c>
      <c r="B177" s="12" t="s">
        <v>587</v>
      </c>
      <c r="C177" s="12" t="s">
        <v>701</v>
      </c>
      <c r="D177" s="12" t="s">
        <v>701</v>
      </c>
      <c r="E177" s="12"/>
      <c r="F177" s="12" t="s">
        <v>701</v>
      </c>
      <c r="G177" s="12" t="s">
        <v>701</v>
      </c>
      <c r="H177" s="12" t="s">
        <v>701</v>
      </c>
      <c r="I177" s="12"/>
      <c r="J177" s="12" t="s">
        <v>701</v>
      </c>
      <c r="K177" s="12"/>
      <c r="L177" s="12"/>
      <c r="M177" s="12" t="s">
        <v>701</v>
      </c>
      <c r="N177" s="12"/>
      <c r="O177" s="12" t="s">
        <v>701</v>
      </c>
      <c r="P177" s="12"/>
      <c r="Q177" s="12" t="s">
        <v>701</v>
      </c>
      <c r="R177" s="12"/>
      <c r="S177" s="12" t="s">
        <v>701</v>
      </c>
      <c r="T177" s="12"/>
      <c r="U177" s="12" t="s">
        <v>701</v>
      </c>
      <c r="V177" s="12" t="s">
        <v>701</v>
      </c>
      <c r="W177" s="12"/>
      <c r="X177" s="12"/>
      <c r="Y177" s="12" t="s">
        <v>701</v>
      </c>
      <c r="Z177" s="12"/>
      <c r="AA177" s="12"/>
      <c r="AB177" s="12"/>
      <c r="AC177" s="12" t="str">
        <f>IF(OR(NOT(ISBLANK(AF177)), NOT(ISBLANK(AG177)), NOT(ISBLANK(AQ177)), NOT(ISBLANK(AN177))), "x", "")</f>
        <v>x</v>
      </c>
      <c r="AD177" s="12" t="s">
        <v>701</v>
      </c>
      <c r="AE177" s="12" t="s">
        <v>701</v>
      </c>
      <c r="AF177" s="12" t="s">
        <v>701</v>
      </c>
      <c r="AG177" s="12" t="s">
        <v>701</v>
      </c>
      <c r="AH177" s="12"/>
      <c r="AI177" s="12"/>
      <c r="AJ177" s="12"/>
      <c r="AK177" s="12"/>
      <c r="AL177" s="12"/>
      <c r="AM177" s="12" t="s">
        <v>701</v>
      </c>
      <c r="AN177" s="12"/>
      <c r="AO177" s="12" t="s">
        <v>701</v>
      </c>
      <c r="AP177" s="12" t="s">
        <v>701</v>
      </c>
      <c r="AQ177" s="12" t="s">
        <v>701</v>
      </c>
    </row>
    <row r="178" spans="1:43" ht="13.5">
      <c r="A178" s="11" t="s">
        <v>196</v>
      </c>
      <c r="B178" s="12" t="s">
        <v>587</v>
      </c>
      <c r="C178" s="12" t="s">
        <v>701</v>
      </c>
      <c r="D178" s="12" t="s">
        <v>701</v>
      </c>
      <c r="E178" s="12"/>
      <c r="F178" s="12" t="s">
        <v>701</v>
      </c>
      <c r="G178" s="12" t="s">
        <v>701</v>
      </c>
      <c r="H178" s="12" t="s">
        <v>701</v>
      </c>
      <c r="I178" s="12"/>
      <c r="J178" s="12" t="s">
        <v>701</v>
      </c>
      <c r="K178" s="12"/>
      <c r="L178" s="12"/>
      <c r="M178" s="12" t="s">
        <v>701</v>
      </c>
      <c r="N178" s="12"/>
      <c r="O178" s="12" t="s">
        <v>701</v>
      </c>
      <c r="P178" s="12"/>
      <c r="Q178" s="12" t="s">
        <v>701</v>
      </c>
      <c r="R178" s="12"/>
      <c r="S178" s="12" t="s">
        <v>701</v>
      </c>
      <c r="T178" s="12"/>
      <c r="U178" s="12" t="s">
        <v>701</v>
      </c>
      <c r="V178" s="12" t="s">
        <v>701</v>
      </c>
      <c r="W178" s="12"/>
      <c r="X178" s="12"/>
      <c r="Y178" s="12" t="s">
        <v>701</v>
      </c>
      <c r="Z178" s="12"/>
      <c r="AA178" s="12"/>
      <c r="AB178" s="12"/>
      <c r="AC178" s="12" t="str">
        <f>IF(OR(NOT(ISBLANK(AF178)), NOT(ISBLANK(AG178)), NOT(ISBLANK(AQ178)), NOT(ISBLANK(AN178))), "x", "")</f>
        <v>x</v>
      </c>
      <c r="AD178" s="12" t="s">
        <v>701</v>
      </c>
      <c r="AE178" s="12" t="s">
        <v>701</v>
      </c>
      <c r="AF178" s="12" t="s">
        <v>701</v>
      </c>
      <c r="AG178" s="12" t="s">
        <v>701</v>
      </c>
      <c r="AH178" s="12"/>
      <c r="AI178" s="12"/>
      <c r="AJ178" s="12"/>
      <c r="AK178" s="12"/>
      <c r="AL178" s="12"/>
      <c r="AM178" s="12" t="s">
        <v>701</v>
      </c>
      <c r="AN178" s="12"/>
      <c r="AO178" s="12" t="s">
        <v>701</v>
      </c>
      <c r="AP178" s="12" t="s">
        <v>701</v>
      </c>
      <c r="AQ178" s="12" t="s">
        <v>701</v>
      </c>
    </row>
    <row r="179" spans="1:43" ht="13.5">
      <c r="A179" s="11" t="s">
        <v>197</v>
      </c>
      <c r="B179" s="12" t="s">
        <v>587</v>
      </c>
      <c r="C179" s="12" t="s">
        <v>701</v>
      </c>
      <c r="D179" s="12" t="s">
        <v>701</v>
      </c>
      <c r="E179" s="12"/>
      <c r="F179" s="12" t="s">
        <v>701</v>
      </c>
      <c r="G179" s="12" t="s">
        <v>701</v>
      </c>
      <c r="H179" s="12" t="s">
        <v>701</v>
      </c>
      <c r="I179" s="12"/>
      <c r="J179" s="12" t="s">
        <v>701</v>
      </c>
      <c r="K179" s="12"/>
      <c r="L179" s="12"/>
      <c r="M179" s="12" t="s">
        <v>701</v>
      </c>
      <c r="N179" s="12"/>
      <c r="O179" s="12" t="s">
        <v>701</v>
      </c>
      <c r="P179" s="12"/>
      <c r="Q179" s="12" t="s">
        <v>701</v>
      </c>
      <c r="R179" s="12"/>
      <c r="S179" s="12" t="s">
        <v>701</v>
      </c>
      <c r="T179" s="12"/>
      <c r="U179" s="12" t="s">
        <v>701</v>
      </c>
      <c r="V179" s="12" t="s">
        <v>701</v>
      </c>
      <c r="W179" s="12"/>
      <c r="X179" s="12"/>
      <c r="Y179" s="12" t="s">
        <v>701</v>
      </c>
      <c r="Z179" s="12"/>
      <c r="AA179" s="12"/>
      <c r="AB179" s="12"/>
      <c r="AC179" s="12" t="str">
        <f>IF(OR(NOT(ISBLANK(AF179)), NOT(ISBLANK(AG179)), NOT(ISBLANK(AQ179)), NOT(ISBLANK(AN179))), "x", "")</f>
        <v>x</v>
      </c>
      <c r="AD179" s="12" t="s">
        <v>701</v>
      </c>
      <c r="AE179" s="12" t="s">
        <v>701</v>
      </c>
      <c r="AF179" s="12" t="s">
        <v>701</v>
      </c>
      <c r="AG179" s="12" t="s">
        <v>701</v>
      </c>
      <c r="AH179" s="12"/>
      <c r="AI179" s="12"/>
      <c r="AJ179" s="12"/>
      <c r="AK179" s="12"/>
      <c r="AL179" s="12"/>
      <c r="AM179" s="12" t="s">
        <v>701</v>
      </c>
      <c r="AN179" s="12"/>
      <c r="AO179" s="12" t="s">
        <v>701</v>
      </c>
      <c r="AP179" s="12" t="s">
        <v>701</v>
      </c>
      <c r="AQ179" s="12" t="s">
        <v>701</v>
      </c>
    </row>
    <row r="180" spans="1:43" ht="13.5">
      <c r="A180" s="11" t="s">
        <v>198</v>
      </c>
      <c r="B180" s="12" t="s">
        <v>592</v>
      </c>
      <c r="C180" s="12"/>
      <c r="D180" s="12" t="s">
        <v>701</v>
      </c>
      <c r="E180" s="12" t="s">
        <v>701</v>
      </c>
      <c r="F180" s="12"/>
      <c r="G180" s="12" t="s">
        <v>701</v>
      </c>
      <c r="H180" s="12" t="s">
        <v>701</v>
      </c>
      <c r="I180" s="12"/>
      <c r="J180" s="12" t="s">
        <v>701</v>
      </c>
      <c r="K180" s="12"/>
      <c r="L180" s="12"/>
      <c r="M180" s="12" t="s">
        <v>701</v>
      </c>
      <c r="N180" s="12"/>
      <c r="O180" s="12" t="s">
        <v>701</v>
      </c>
      <c r="P180" s="12"/>
      <c r="Q180" s="12" t="s">
        <v>701</v>
      </c>
      <c r="R180" s="12"/>
      <c r="S180" s="12" t="s">
        <v>701</v>
      </c>
      <c r="T180" s="12"/>
      <c r="U180" s="12" t="s">
        <v>701</v>
      </c>
      <c r="V180" s="12" t="s">
        <v>701</v>
      </c>
      <c r="W180" s="12"/>
      <c r="X180" s="12"/>
      <c r="Y180" s="12" t="s">
        <v>701</v>
      </c>
      <c r="Z180" s="12" t="s">
        <v>701</v>
      </c>
      <c r="AA180" s="12" t="s">
        <v>701</v>
      </c>
      <c r="AB180" s="12"/>
      <c r="AC180" s="12" t="str" cm="1">
        <f t="array" ref="AC180">IF(OR(NOT(ISBLANK(AG18x)), NOT(ISBLANK(AH18x)), NOT(ISBLANK(AR18x)), NOT(ISBLANK(AO18x))), "x", "")</f>
        <v>x</v>
      </c>
      <c r="AD180" s="12" t="s">
        <v>701</v>
      </c>
      <c r="AE180" s="12" t="s">
        <v>701</v>
      </c>
      <c r="AF180" s="12" t="s">
        <v>701</v>
      </c>
      <c r="AG180" s="12"/>
      <c r="AH180" s="12"/>
      <c r="AI180" s="12"/>
      <c r="AJ180" s="12"/>
      <c r="AK180" s="12"/>
      <c r="AL180" s="12"/>
      <c r="AM180" s="12"/>
      <c r="AN180" s="12"/>
      <c r="AO180" s="12"/>
      <c r="AP180" s="12" t="s">
        <v>701</v>
      </c>
      <c r="AQ180" s="12" t="s">
        <v>701</v>
      </c>
    </row>
    <row r="181" spans="1:43" ht="13.5">
      <c r="A181" s="11" t="s">
        <v>199</v>
      </c>
      <c r="B181" s="12" t="s">
        <v>606</v>
      </c>
      <c r="C181" s="12"/>
      <c r="D181" s="12"/>
      <c r="E181" s="12" t="s">
        <v>701</v>
      </c>
      <c r="F181" s="12"/>
      <c r="G181" s="12"/>
      <c r="H181" s="12" t="s">
        <v>701</v>
      </c>
      <c r="I181" s="12"/>
      <c r="J181" s="12" t="s">
        <v>701</v>
      </c>
      <c r="K181" s="12"/>
      <c r="L181" s="12"/>
      <c r="M181" s="12" t="s">
        <v>701</v>
      </c>
      <c r="N181" s="12"/>
      <c r="O181" s="12"/>
      <c r="P181" s="12"/>
      <c r="Q181" s="12" t="s">
        <v>701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 t="s">
        <v>701</v>
      </c>
      <c r="AB181" s="12" t="s">
        <v>701</v>
      </c>
      <c r="AC181" s="12" t="str">
        <f>IF(OR(NOT(ISBLANK(AF181)), NOT(ISBLANK(AG181)), NOT(ISBLANK(AQ181)), NOT(ISBLANK(AN181))), "x", "")</f>
        <v/>
      </c>
      <c r="AD181" s="12" t="s">
        <v>701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spans="1:43" ht="13.5">
      <c r="A182" s="11" t="s">
        <v>200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 t="str">
        <f>IF(OR(NOT(ISBLANK(AF182)), NOT(ISBLANK(AG182)), NOT(ISBLANK(AQ182)), NOT(ISBLANK(AN182))), "x", "")</f>
        <v/>
      </c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spans="1:43" ht="13.5">
      <c r="A183" s="11" t="s">
        <v>201</v>
      </c>
      <c r="B183" s="12" t="s">
        <v>587</v>
      </c>
      <c r="C183" s="12"/>
      <c r="D183" s="12" t="s">
        <v>701</v>
      </c>
      <c r="E183" s="12"/>
      <c r="F183" s="12" t="s">
        <v>701</v>
      </c>
      <c r="G183" s="12" t="s">
        <v>701</v>
      </c>
      <c r="H183" s="12" t="s">
        <v>701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 t="s">
        <v>701</v>
      </c>
      <c r="T183" s="12"/>
      <c r="U183" s="12"/>
      <c r="V183" s="12"/>
      <c r="W183" s="12" t="s">
        <v>701</v>
      </c>
      <c r="X183" s="12"/>
      <c r="Y183" s="12"/>
      <c r="Z183" s="12"/>
      <c r="AA183" s="12"/>
      <c r="AB183" s="12"/>
      <c r="AC183" s="12" t="str">
        <f>IF(OR(NOT(ISBLANK(AF183)), NOT(ISBLANK(AG183)), NOT(ISBLANK(AQ183)), NOT(ISBLANK(AN183))), "x", "")</f>
        <v/>
      </c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spans="1:43" ht="13.5">
      <c r="A184" s="11" t="s">
        <v>202</v>
      </c>
      <c r="B184" s="12" t="s">
        <v>588</v>
      </c>
      <c r="C184" s="12" t="s">
        <v>701</v>
      </c>
      <c r="D184" s="12" t="s">
        <v>701</v>
      </c>
      <c r="E184" s="12"/>
      <c r="F184" s="12"/>
      <c r="G184" s="12" t="s">
        <v>701</v>
      </c>
      <c r="H184" s="12"/>
      <c r="I184" s="12" t="s">
        <v>701</v>
      </c>
      <c r="J184" s="12"/>
      <c r="K184" s="12"/>
      <c r="L184" s="12"/>
      <c r="M184" s="12"/>
      <c r="N184" s="12"/>
      <c r="O184" s="12" t="s">
        <v>701</v>
      </c>
      <c r="P184" s="12"/>
      <c r="Q184" s="12"/>
      <c r="R184" s="12"/>
      <c r="S184" s="12"/>
      <c r="T184" s="12"/>
      <c r="U184" s="12"/>
      <c r="V184" s="12" t="s">
        <v>701</v>
      </c>
      <c r="W184" s="12" t="s">
        <v>701</v>
      </c>
      <c r="X184" s="12" t="s">
        <v>701</v>
      </c>
      <c r="Y184" s="12" t="s">
        <v>701</v>
      </c>
      <c r="Z184" s="12" t="s">
        <v>701</v>
      </c>
      <c r="AA184" s="12" t="s">
        <v>701</v>
      </c>
      <c r="AB184" s="12" t="s">
        <v>701</v>
      </c>
      <c r="AC184" s="12" t="str">
        <f>IF(OR(NOT(ISBLANK(AF184)), NOT(ISBLANK(AG184)), NOT(ISBLANK(AQ184)), NOT(ISBLANK(AN184))), "x", "")</f>
        <v/>
      </c>
      <c r="AD184" s="12" t="s">
        <v>701</v>
      </c>
      <c r="AE184" s="12"/>
      <c r="AF184" s="12"/>
      <c r="AG184" s="12"/>
      <c r="AH184" s="12"/>
      <c r="AI184" s="12"/>
      <c r="AJ184" s="12"/>
      <c r="AK184" s="12"/>
      <c r="AL184" s="12"/>
      <c r="AM184" s="12" t="s">
        <v>701</v>
      </c>
      <c r="AN184" s="12"/>
      <c r="AO184" s="12"/>
      <c r="AP184" s="12"/>
      <c r="AQ184" s="12"/>
    </row>
    <row r="185" spans="1:43" ht="13.5">
      <c r="A185" s="11" t="s">
        <v>203</v>
      </c>
      <c r="B185" s="12" t="s">
        <v>588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 t="str">
        <f>IF(OR(NOT(ISBLANK(AF185)), NOT(ISBLANK(AG185)), NOT(ISBLANK(AQ185)), NOT(ISBLANK(AN185))), "x", "")</f>
        <v/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spans="1:43" ht="13.5">
      <c r="A186" s="11" t="s">
        <v>204</v>
      </c>
      <c r="B186" s="12" t="s">
        <v>588</v>
      </c>
      <c r="C186" s="12" t="s">
        <v>701</v>
      </c>
      <c r="D186" s="12" t="s">
        <v>701</v>
      </c>
      <c r="E186" s="12"/>
      <c r="F186" s="12"/>
      <c r="G186" s="12" t="s">
        <v>701</v>
      </c>
      <c r="H186" s="12" t="s">
        <v>701</v>
      </c>
      <c r="I186" s="12" t="s">
        <v>701</v>
      </c>
      <c r="J186" s="12"/>
      <c r="K186" s="12"/>
      <c r="L186" s="12"/>
      <c r="M186" s="12"/>
      <c r="N186" s="12"/>
      <c r="O186" s="12" t="s">
        <v>701</v>
      </c>
      <c r="P186" s="12"/>
      <c r="Q186" s="12"/>
      <c r="R186" s="12"/>
      <c r="S186" s="12" t="s">
        <v>701</v>
      </c>
      <c r="T186" s="12"/>
      <c r="U186" s="12"/>
      <c r="V186" s="12"/>
      <c r="W186" s="12" t="s">
        <v>701</v>
      </c>
      <c r="X186" s="12" t="s">
        <v>701</v>
      </c>
      <c r="Y186" s="12" t="s">
        <v>701</v>
      </c>
      <c r="Z186" s="12" t="s">
        <v>701</v>
      </c>
      <c r="AA186" s="12"/>
      <c r="AB186" s="12"/>
      <c r="AC186" s="12" t="str">
        <f>IF(OR(NOT(ISBLANK(AF186)), NOT(ISBLANK(AG186)), NOT(ISBLANK(AQ186)), NOT(ISBLANK(AN186))), "x", "")</f>
        <v/>
      </c>
      <c r="AD186" s="12" t="s">
        <v>701</v>
      </c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spans="1:43" ht="13.5">
      <c r="A187" s="11" t="s">
        <v>205</v>
      </c>
      <c r="B187" s="12" t="s">
        <v>588</v>
      </c>
      <c r="C187" s="12" t="s">
        <v>701</v>
      </c>
      <c r="D187" s="12" t="s">
        <v>701</v>
      </c>
      <c r="E187" s="12"/>
      <c r="F187" s="12"/>
      <c r="G187" s="12" t="s">
        <v>701</v>
      </c>
      <c r="H187" s="12" t="s">
        <v>701</v>
      </c>
      <c r="I187" s="12"/>
      <c r="J187" s="12"/>
      <c r="K187" s="12"/>
      <c r="L187" s="12"/>
      <c r="M187" s="12"/>
      <c r="N187" s="12"/>
      <c r="O187" s="12" t="s">
        <v>701</v>
      </c>
      <c r="P187" s="12"/>
      <c r="Q187" s="12"/>
      <c r="R187" s="12"/>
      <c r="S187" s="12" t="s">
        <v>701</v>
      </c>
      <c r="T187" s="12"/>
      <c r="U187" s="12"/>
      <c r="V187" s="12"/>
      <c r="W187" s="12" t="s">
        <v>701</v>
      </c>
      <c r="X187" s="12" t="s">
        <v>701</v>
      </c>
      <c r="Y187" s="12" t="s">
        <v>701</v>
      </c>
      <c r="Z187" s="12" t="s">
        <v>701</v>
      </c>
      <c r="AA187" s="12"/>
      <c r="AB187" s="12"/>
      <c r="AC187" s="12" t="str">
        <f>IF(OR(NOT(ISBLANK(AF187)), NOT(ISBLANK(AG187)), NOT(ISBLANK(AQ187)), NOT(ISBLANK(AN187))), "x", "")</f>
        <v/>
      </c>
      <c r="AD187" s="12" t="s">
        <v>701</v>
      </c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spans="1:43" ht="13.5">
      <c r="A188" s="11" t="s">
        <v>206</v>
      </c>
      <c r="B188" s="12" t="s">
        <v>604</v>
      </c>
      <c r="C188" s="12" t="s">
        <v>701</v>
      </c>
      <c r="D188" s="12" t="s">
        <v>701</v>
      </c>
      <c r="E188" s="12"/>
      <c r="F188" s="12" t="s">
        <v>701</v>
      </c>
      <c r="G188" s="12" t="s">
        <v>701</v>
      </c>
      <c r="H188" s="12" t="s">
        <v>701</v>
      </c>
      <c r="I188" s="12" t="s">
        <v>701</v>
      </c>
      <c r="J188" s="12"/>
      <c r="K188" s="12"/>
      <c r="L188" s="12"/>
      <c r="M188" s="12"/>
      <c r="N188" s="12"/>
      <c r="O188" s="12" t="s">
        <v>701</v>
      </c>
      <c r="P188" s="12"/>
      <c r="Q188" s="12"/>
      <c r="R188" s="12"/>
      <c r="S188" s="12" t="s">
        <v>701</v>
      </c>
      <c r="T188" s="12"/>
      <c r="U188" s="12"/>
      <c r="V188" s="12"/>
      <c r="W188" s="12" t="s">
        <v>701</v>
      </c>
      <c r="X188" s="12" t="s">
        <v>701</v>
      </c>
      <c r="Y188" s="12" t="s">
        <v>701</v>
      </c>
      <c r="Z188" s="12" t="s">
        <v>701</v>
      </c>
      <c r="AA188" s="12"/>
      <c r="AB188" s="12"/>
      <c r="AC188" s="12" t="str">
        <f>IF(OR(NOT(ISBLANK(AF188)), NOT(ISBLANK(AG188)), NOT(ISBLANK(AQ188)), NOT(ISBLANK(AN188))), "x", "")</f>
        <v/>
      </c>
      <c r="AD188" s="12" t="s">
        <v>701</v>
      </c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spans="1:43" ht="13.5">
      <c r="A189" s="11" t="s">
        <v>207</v>
      </c>
      <c r="B189" s="12" t="s">
        <v>604</v>
      </c>
      <c r="C189" s="12" t="s">
        <v>701</v>
      </c>
      <c r="D189" s="12" t="s">
        <v>701</v>
      </c>
      <c r="E189" s="12"/>
      <c r="F189" s="12" t="s">
        <v>701</v>
      </c>
      <c r="G189" s="12" t="s">
        <v>701</v>
      </c>
      <c r="H189" s="12" t="s">
        <v>701</v>
      </c>
      <c r="I189" s="12" t="s">
        <v>701</v>
      </c>
      <c r="J189" s="12" t="s">
        <v>701</v>
      </c>
      <c r="K189" s="12"/>
      <c r="L189" s="12"/>
      <c r="M189" s="12"/>
      <c r="N189" s="12"/>
      <c r="O189" s="12" t="s">
        <v>701</v>
      </c>
      <c r="P189" s="12"/>
      <c r="Q189" s="12"/>
      <c r="R189" s="12"/>
      <c r="S189" s="12" t="s">
        <v>701</v>
      </c>
      <c r="T189" s="12"/>
      <c r="U189" s="12"/>
      <c r="V189" s="12" t="s">
        <v>701</v>
      </c>
      <c r="W189" s="12"/>
      <c r="X189" s="12" t="s">
        <v>701</v>
      </c>
      <c r="Y189" s="12" t="s">
        <v>701</v>
      </c>
      <c r="Z189" s="12" t="s">
        <v>701</v>
      </c>
      <c r="AA189" s="12"/>
      <c r="AB189" s="12"/>
      <c r="AC189" s="12" t="str">
        <f>IF(OR(NOT(ISBLANK(AF189)), NOT(ISBLANK(AG189)), NOT(ISBLANK(AQ189)), NOT(ISBLANK(AN189))), "x", "")</f>
        <v/>
      </c>
      <c r="AD189" s="12" t="s">
        <v>701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spans="1:43" ht="13.5">
      <c r="A190" s="11" t="s">
        <v>208</v>
      </c>
      <c r="B190" s="12" t="s">
        <v>593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 t="str" cm="1">
        <f t="array" ref="AC190">IF(OR(NOT(ISBLANK(AG19x)), NOT(ISBLANK(AH19x)), NOT(ISBLANK(AR19x)), NOT(ISBLANK(AO19x))), "x", "")</f>
        <v>x</v>
      </c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spans="1:43" ht="13.5">
      <c r="A191" s="11" t="s">
        <v>209</v>
      </c>
      <c r="B191" s="12" t="s">
        <v>588</v>
      </c>
      <c r="C191" s="12" t="s">
        <v>701</v>
      </c>
      <c r="D191" s="12" t="s">
        <v>701</v>
      </c>
      <c r="E191" s="12"/>
      <c r="F191" s="12" t="s">
        <v>701</v>
      </c>
      <c r="G191" s="12" t="s">
        <v>701</v>
      </c>
      <c r="H191" s="12" t="s">
        <v>701</v>
      </c>
      <c r="I191" s="12" t="s">
        <v>701</v>
      </c>
      <c r="J191" s="12"/>
      <c r="K191" s="12"/>
      <c r="L191" s="12"/>
      <c r="M191" s="12"/>
      <c r="N191" s="12"/>
      <c r="O191" s="12" t="s">
        <v>701</v>
      </c>
      <c r="P191" s="12"/>
      <c r="Q191" s="12"/>
      <c r="R191" s="12"/>
      <c r="S191" s="12" t="s">
        <v>701</v>
      </c>
      <c r="T191" s="12"/>
      <c r="U191" s="12"/>
      <c r="V191" s="12"/>
      <c r="W191" s="12" t="s">
        <v>701</v>
      </c>
      <c r="X191" s="12"/>
      <c r="Y191" s="12" t="s">
        <v>701</v>
      </c>
      <c r="Z191" s="12"/>
      <c r="AA191" s="12"/>
      <c r="AB191" s="12"/>
      <c r="AC191" s="12" t="str">
        <f>IF(OR(NOT(ISBLANK(AF191)), NOT(ISBLANK(AG191)), NOT(ISBLANK(AQ191)), NOT(ISBLANK(AN191))), "x", "")</f>
        <v/>
      </c>
      <c r="AD191" s="12" t="s">
        <v>701</v>
      </c>
      <c r="AE191" s="12"/>
      <c r="AF191" s="12"/>
      <c r="AG191" s="12"/>
      <c r="AH191" s="12" t="s">
        <v>701</v>
      </c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spans="1:43" ht="13.5">
      <c r="A192" s="11" t="s">
        <v>210</v>
      </c>
      <c r="B192" s="12" t="s">
        <v>588</v>
      </c>
      <c r="C192" s="12" t="s">
        <v>701</v>
      </c>
      <c r="D192" s="12" t="s">
        <v>701</v>
      </c>
      <c r="E192" s="12"/>
      <c r="F192" s="12" t="s">
        <v>701</v>
      </c>
      <c r="G192" s="12" t="s">
        <v>701</v>
      </c>
      <c r="H192" s="12" t="s">
        <v>701</v>
      </c>
      <c r="I192" s="12" t="s">
        <v>701</v>
      </c>
      <c r="J192" s="12" t="s">
        <v>701</v>
      </c>
      <c r="K192" s="12"/>
      <c r="L192" s="12"/>
      <c r="M192" s="12"/>
      <c r="N192" s="12"/>
      <c r="O192" s="12" t="s">
        <v>701</v>
      </c>
      <c r="P192" s="12"/>
      <c r="Q192" s="12"/>
      <c r="R192" s="12"/>
      <c r="S192" s="12" t="s">
        <v>701</v>
      </c>
      <c r="T192" s="12"/>
      <c r="U192" s="12" t="s">
        <v>701</v>
      </c>
      <c r="V192" s="12"/>
      <c r="W192" s="12" t="s">
        <v>701</v>
      </c>
      <c r="X192" s="12"/>
      <c r="Y192" s="12" t="s">
        <v>701</v>
      </c>
      <c r="Z192" s="12"/>
      <c r="AA192" s="12"/>
      <c r="AB192" s="12"/>
      <c r="AC192" s="12" t="str">
        <f>IF(OR(NOT(ISBLANK(AF192)), NOT(ISBLANK(AG192)), NOT(ISBLANK(AQ192)), NOT(ISBLANK(AN192))), "x", "")</f>
        <v/>
      </c>
      <c r="AD192" s="12" t="s">
        <v>701</v>
      </c>
      <c r="AE192" s="12"/>
      <c r="AF192" s="12"/>
      <c r="AG192" s="12"/>
      <c r="AH192" s="12" t="s">
        <v>701</v>
      </c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spans="1:43" ht="13.5">
      <c r="A193" s="11" t="s">
        <v>211</v>
      </c>
      <c r="B193" s="12" t="s">
        <v>592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 t="str">
        <f>IF(OR(NOT(ISBLANK(AF193)), NOT(ISBLANK(AG193)), NOT(ISBLANK(AQ193)), NOT(ISBLANK(AN193))), "x", "")</f>
        <v/>
      </c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spans="1:43" ht="13.5">
      <c r="A194" s="11" t="s">
        <v>212</v>
      </c>
      <c r="B194" s="12" t="s">
        <v>587</v>
      </c>
      <c r="C194" s="12" t="s">
        <v>701</v>
      </c>
      <c r="D194" s="12" t="s">
        <v>701</v>
      </c>
      <c r="E194" s="12"/>
      <c r="F194" s="12" t="s">
        <v>701</v>
      </c>
      <c r="G194" s="12" t="s">
        <v>701</v>
      </c>
      <c r="H194" s="12" t="s">
        <v>701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 t="s">
        <v>701</v>
      </c>
      <c r="X194" s="12"/>
      <c r="Y194" s="12"/>
      <c r="Z194" s="12"/>
      <c r="AA194" s="12"/>
      <c r="AB194" s="12"/>
      <c r="AC194" s="12" t="str">
        <f>IF(OR(NOT(ISBLANK(AF194)), NOT(ISBLANK(AG194)), NOT(ISBLANK(AQ194)), NOT(ISBLANK(AN194))), "x", "")</f>
        <v/>
      </c>
      <c r="AD194" s="12" t="s">
        <v>701</v>
      </c>
      <c r="AE194" s="12"/>
      <c r="AF194" s="12"/>
      <c r="AG194" s="12"/>
      <c r="AH194" s="12"/>
      <c r="AI194" s="12" t="s">
        <v>701</v>
      </c>
      <c r="AJ194" s="12"/>
      <c r="AK194" s="12"/>
      <c r="AL194" s="12"/>
      <c r="AM194" s="12"/>
      <c r="AN194" s="12"/>
      <c r="AO194" s="12"/>
      <c r="AP194" s="12"/>
      <c r="AQ194" s="12"/>
    </row>
    <row r="195" spans="1:43" ht="13.5">
      <c r="A195" s="11" t="s">
        <v>213</v>
      </c>
      <c r="B195" s="12" t="s">
        <v>607</v>
      </c>
      <c r="C195" s="12" t="s">
        <v>701</v>
      </c>
      <c r="D195" s="12" t="s">
        <v>701</v>
      </c>
      <c r="E195" s="12"/>
      <c r="F195" s="12" t="s">
        <v>701</v>
      </c>
      <c r="G195" s="12" t="s">
        <v>701</v>
      </c>
      <c r="H195" s="12" t="s">
        <v>701</v>
      </c>
      <c r="I195" s="12" t="s">
        <v>701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 t="s">
        <v>701</v>
      </c>
      <c r="AB195" s="12"/>
      <c r="AC195" s="12" t="str">
        <f>IF(OR(NOT(ISBLANK(AF195)), NOT(ISBLANK(AG195)), NOT(ISBLANK(AQ195)), NOT(ISBLANK(AN195))), "x", "")</f>
        <v>x</v>
      </c>
      <c r="AD195" s="12" t="s">
        <v>701</v>
      </c>
      <c r="AE195" s="12"/>
      <c r="AF195" s="12"/>
      <c r="AG195" s="12" t="s">
        <v>701</v>
      </c>
      <c r="AH195" s="12"/>
      <c r="AI195" s="12" t="s">
        <v>701</v>
      </c>
      <c r="AJ195" s="12"/>
      <c r="AK195" s="12"/>
      <c r="AL195" s="12"/>
      <c r="AM195" s="12"/>
      <c r="AN195" s="12"/>
      <c r="AO195" s="12"/>
      <c r="AP195" s="12"/>
      <c r="AQ195" s="12"/>
    </row>
    <row r="196" spans="1:43" ht="13.5">
      <c r="A196" s="11" t="s">
        <v>214</v>
      </c>
      <c r="B196" s="12" t="s">
        <v>598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 t="str">
        <f>IF(OR(NOT(ISBLANK(AF196)), NOT(ISBLANK(AG196)), NOT(ISBLANK(AQ196)), NOT(ISBLANK(AN196))), "x", "")</f>
        <v/>
      </c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spans="1:43" ht="13.5">
      <c r="A197" s="11" t="s">
        <v>215</v>
      </c>
      <c r="B197" s="12" t="s">
        <v>597</v>
      </c>
      <c r="C197" s="12" t="s">
        <v>701</v>
      </c>
      <c r="D197" s="12" t="s">
        <v>701</v>
      </c>
      <c r="E197" s="12" t="s">
        <v>701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 t="s">
        <v>701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2" t="s">
        <v>701</v>
      </c>
      <c r="Z197" s="12"/>
      <c r="AA197" s="12"/>
      <c r="AB197" s="12"/>
      <c r="AC197" s="12" t="str">
        <f>IF(OR(NOT(ISBLANK(AF197)), NOT(ISBLANK(AG197)), NOT(ISBLANK(AQ197)), NOT(ISBLANK(AN197))), "x", "")</f>
        <v/>
      </c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spans="1:43" ht="13.5">
      <c r="A198" s="11" t="s">
        <v>216</v>
      </c>
      <c r="B198" s="12" t="s">
        <v>588</v>
      </c>
      <c r="C198" s="12" t="s">
        <v>701</v>
      </c>
      <c r="D198" s="12" t="s">
        <v>701</v>
      </c>
      <c r="E198" s="12"/>
      <c r="F198" s="12"/>
      <c r="G198" s="12" t="s">
        <v>701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 t="s">
        <v>701</v>
      </c>
      <c r="W198" s="12"/>
      <c r="X198" s="12"/>
      <c r="Y198" s="12" t="s">
        <v>701</v>
      </c>
      <c r="Z198" s="12"/>
      <c r="AA198" s="12"/>
      <c r="AB198" s="12"/>
      <c r="AC198" s="12" t="str">
        <f>IF(OR(NOT(ISBLANK(AF198)), NOT(ISBLANK(AG198)), NOT(ISBLANK(AQ198)), NOT(ISBLANK(AN198))), "x", "")</f>
        <v/>
      </c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spans="1:43" ht="13.5">
      <c r="A199" s="11" t="s">
        <v>217</v>
      </c>
      <c r="B199" s="12" t="s">
        <v>587</v>
      </c>
      <c r="C199" s="12" t="s">
        <v>701</v>
      </c>
      <c r="D199" s="12" t="s">
        <v>701</v>
      </c>
      <c r="E199" s="12"/>
      <c r="F199" s="12"/>
      <c r="G199" s="12" t="s">
        <v>701</v>
      </c>
      <c r="H199" s="12" t="s">
        <v>701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 t="s">
        <v>701</v>
      </c>
      <c r="Z199" s="12"/>
      <c r="AA199" s="12"/>
      <c r="AB199" s="12"/>
      <c r="AC199" s="12" t="str">
        <f>IF(OR(NOT(ISBLANK(AF199)), NOT(ISBLANK(AG199)), NOT(ISBLANK(AQ199)), NOT(ISBLANK(AN199))), "x", "")</f>
        <v/>
      </c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spans="1:43" ht="13.5">
      <c r="A200" s="11" t="s">
        <v>218</v>
      </c>
      <c r="B200" s="12" t="s">
        <v>607</v>
      </c>
      <c r="C200" s="12" t="s">
        <v>701</v>
      </c>
      <c r="D200" s="12" t="s">
        <v>701</v>
      </c>
      <c r="E200" s="12"/>
      <c r="F200" s="12" t="s">
        <v>701</v>
      </c>
      <c r="G200" s="12" t="s">
        <v>701</v>
      </c>
      <c r="H200" s="12" t="s">
        <v>701</v>
      </c>
      <c r="I200" s="12" t="s">
        <v>701</v>
      </c>
      <c r="J200" s="12" t="s">
        <v>701</v>
      </c>
      <c r="K200" s="12"/>
      <c r="L200" s="12"/>
      <c r="M200" s="12"/>
      <c r="N200" s="12"/>
      <c r="O200" s="12" t="s">
        <v>701</v>
      </c>
      <c r="P200" s="12"/>
      <c r="Q200" s="12"/>
      <c r="R200" s="12"/>
      <c r="S200" s="12"/>
      <c r="T200" s="12"/>
      <c r="U200" s="12"/>
      <c r="V200" s="12" t="s">
        <v>701</v>
      </c>
      <c r="W200" s="12"/>
      <c r="X200" s="12"/>
      <c r="Y200" s="12" t="s">
        <v>701</v>
      </c>
      <c r="Z200" s="12" t="s">
        <v>701</v>
      </c>
      <c r="AA200" s="12" t="s">
        <v>701</v>
      </c>
      <c r="AB200" s="12"/>
      <c r="AC200" s="12" t="str" cm="1">
        <f t="array" ref="AC200">IF(OR(NOT(ISBLANK(AG2xx)), NOT(ISBLANK(AH2xx)), NOT(ISBLANK(AR2xx)), NOT(ISBLANK(AO2xx))), "x", "")</f>
        <v>x</v>
      </c>
      <c r="AD200" s="12" t="s">
        <v>701</v>
      </c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spans="1:43" ht="13.5">
      <c r="A201" s="11" t="s">
        <v>219</v>
      </c>
      <c r="B201" s="12" t="s">
        <v>587</v>
      </c>
      <c r="C201" s="12" t="s">
        <v>701</v>
      </c>
      <c r="D201" s="12" t="s">
        <v>701</v>
      </c>
      <c r="E201" s="12"/>
      <c r="F201" s="12" t="s">
        <v>701</v>
      </c>
      <c r="G201" s="12" t="s">
        <v>701</v>
      </c>
      <c r="H201" s="12" t="s">
        <v>701</v>
      </c>
      <c r="I201" s="12"/>
      <c r="J201" s="12" t="s">
        <v>701</v>
      </c>
      <c r="K201" s="12"/>
      <c r="L201" s="12"/>
      <c r="M201" s="12" t="s">
        <v>701</v>
      </c>
      <c r="N201" s="12"/>
      <c r="O201" s="12" t="s">
        <v>701</v>
      </c>
      <c r="P201" s="12"/>
      <c r="Q201" s="12" t="s">
        <v>701</v>
      </c>
      <c r="R201" s="12"/>
      <c r="S201" s="12" t="s">
        <v>701</v>
      </c>
      <c r="T201" s="12"/>
      <c r="U201" s="12" t="s">
        <v>701</v>
      </c>
      <c r="V201" s="12" t="s">
        <v>701</v>
      </c>
      <c r="W201" s="12" t="s">
        <v>701</v>
      </c>
      <c r="X201" s="12"/>
      <c r="Y201" s="12" t="s">
        <v>701</v>
      </c>
      <c r="Z201" s="12" t="s">
        <v>701</v>
      </c>
      <c r="AA201" s="12" t="s">
        <v>701</v>
      </c>
      <c r="AB201" s="12"/>
      <c r="AC201" s="12" t="str" cm="1">
        <f t="array" ref="AC201">IF(OR(NOT(ISBLANK(AG2x1)), NOT(ISBLANK(AH2x1)), NOT(ISBLANK(AR2x1)), NOT(ISBLANK(AO2x1))), "x", "")</f>
        <v>x</v>
      </c>
      <c r="AD201" s="12" t="s">
        <v>701</v>
      </c>
      <c r="AE201" s="12" t="s">
        <v>701</v>
      </c>
      <c r="AF201" s="12" t="s">
        <v>701</v>
      </c>
      <c r="AG201" s="12"/>
      <c r="AH201" s="12"/>
      <c r="AI201" s="12"/>
      <c r="AJ201" s="12"/>
      <c r="AK201" s="12"/>
      <c r="AL201" s="12"/>
      <c r="AM201" s="12" t="s">
        <v>701</v>
      </c>
      <c r="AN201" s="12"/>
      <c r="AO201" s="12"/>
      <c r="AP201" s="12" t="s">
        <v>701</v>
      </c>
      <c r="AQ201" s="12" t="s">
        <v>701</v>
      </c>
    </row>
    <row r="202" spans="1:43" ht="13.5">
      <c r="A202" s="11" t="s">
        <v>220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 t="str" cm="1">
        <f t="array" ref="AC202">IF(OR(NOT(ISBLANK(AG2x2)), NOT(ISBLANK(AH2x2)), NOT(ISBLANK(AR2x2)), NOT(ISBLANK(AO2x2))), "x", "")</f>
        <v>x</v>
      </c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 spans="1:43" ht="13.5">
      <c r="A203" s="11" t="s">
        <v>221</v>
      </c>
      <c r="B203" s="12" t="s">
        <v>587</v>
      </c>
      <c r="C203" s="12"/>
      <c r="D203" s="12" t="s">
        <v>701</v>
      </c>
      <c r="E203" s="12"/>
      <c r="F203" s="12" t="s">
        <v>701</v>
      </c>
      <c r="G203" s="12" t="s">
        <v>701</v>
      </c>
      <c r="H203" s="12" t="s">
        <v>701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 t="s">
        <v>701</v>
      </c>
      <c r="T203" s="12"/>
      <c r="U203" s="12"/>
      <c r="V203" s="12"/>
      <c r="W203" s="12" t="s">
        <v>701</v>
      </c>
      <c r="X203" s="12"/>
      <c r="Y203" s="12"/>
      <c r="Z203" s="12"/>
      <c r="AA203" s="12"/>
      <c r="AB203" s="12"/>
      <c r="AC203" s="12" t="str" cm="1">
        <f t="array" ref="AC203">IF(OR(NOT(ISBLANK(AG2x3)), NOT(ISBLANK(AH2x3)), NOT(ISBLANK(AR2x3)), NOT(ISBLANK(AO2x3))), "x", "")</f>
        <v>x</v>
      </c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 spans="1:43" ht="13.5">
      <c r="A204" s="11" t="s">
        <v>222</v>
      </c>
      <c r="B204" s="12" t="s">
        <v>588</v>
      </c>
      <c r="C204" s="12" t="s">
        <v>701</v>
      </c>
      <c r="D204" s="12" t="s">
        <v>701</v>
      </c>
      <c r="E204" s="12"/>
      <c r="F204" s="12"/>
      <c r="G204" s="12" t="s">
        <v>701</v>
      </c>
      <c r="H204" s="12"/>
      <c r="I204" s="12" t="s">
        <v>701</v>
      </c>
      <c r="J204" s="12"/>
      <c r="K204" s="12"/>
      <c r="L204" s="12"/>
      <c r="M204" s="12"/>
      <c r="N204" s="12"/>
      <c r="O204" s="12" t="s">
        <v>701</v>
      </c>
      <c r="P204" s="12"/>
      <c r="Q204" s="12"/>
      <c r="R204" s="12"/>
      <c r="S204" s="12"/>
      <c r="T204" s="12"/>
      <c r="U204" s="12"/>
      <c r="V204" s="12" t="s">
        <v>701</v>
      </c>
      <c r="W204" s="12" t="s">
        <v>701</v>
      </c>
      <c r="X204" s="12" t="s">
        <v>701</v>
      </c>
      <c r="Y204" s="12" t="s">
        <v>701</v>
      </c>
      <c r="Z204" s="12" t="s">
        <v>701</v>
      </c>
      <c r="AA204" s="12" t="s">
        <v>701</v>
      </c>
      <c r="AB204" s="12" t="s">
        <v>701</v>
      </c>
      <c r="AC204" s="12" t="str" cm="1">
        <f t="array" ref="AC204">IF(OR(NOT(ISBLANK(AG2x4)), NOT(ISBLANK(AH2x4)), NOT(ISBLANK(AR2x4)), NOT(ISBLANK(AO2x4))), "x", "")</f>
        <v>x</v>
      </c>
      <c r="AD204" s="12" t="s">
        <v>701</v>
      </c>
      <c r="AE204" s="12"/>
      <c r="AF204" s="12"/>
      <c r="AG204" s="12"/>
      <c r="AH204" s="12"/>
      <c r="AI204" s="12"/>
      <c r="AJ204" s="12"/>
      <c r="AK204" s="12"/>
      <c r="AL204" s="12"/>
      <c r="AM204" s="12" t="s">
        <v>701</v>
      </c>
      <c r="AN204" s="12"/>
      <c r="AO204" s="12"/>
      <c r="AP204" s="12"/>
      <c r="AQ204" s="12"/>
    </row>
    <row r="205" spans="1:43" ht="13.5">
      <c r="A205" s="11" t="s">
        <v>223</v>
      </c>
      <c r="B205" s="12" t="s">
        <v>587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 t="str" cm="1">
        <f t="array" ref="AC205">IF(OR(NOT(ISBLANK(AG2x5)), NOT(ISBLANK(AH2x5)), NOT(ISBLANK(AR2x5)), NOT(ISBLANK(AO2x5))), "x", "")</f>
        <v>x</v>
      </c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spans="1:43" ht="13.5">
      <c r="A206" s="11" t="s">
        <v>224</v>
      </c>
      <c r="B206" s="12" t="s">
        <v>592</v>
      </c>
      <c r="C206" s="12" t="s">
        <v>701</v>
      </c>
      <c r="D206" s="12" t="s">
        <v>701</v>
      </c>
      <c r="E206" s="12"/>
      <c r="F206" s="12" t="s">
        <v>701</v>
      </c>
      <c r="G206" s="12" t="s">
        <v>701</v>
      </c>
      <c r="H206" s="12" t="s">
        <v>701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 t="s">
        <v>701</v>
      </c>
      <c r="T206" s="12"/>
      <c r="U206" s="12" t="s">
        <v>701</v>
      </c>
      <c r="V206" s="12" t="s">
        <v>701</v>
      </c>
      <c r="W206" s="12" t="s">
        <v>701</v>
      </c>
      <c r="X206" s="12"/>
      <c r="Y206" s="12"/>
      <c r="Z206" s="12" t="s">
        <v>701</v>
      </c>
      <c r="AA206" s="12" t="s">
        <v>701</v>
      </c>
      <c r="AB206" s="12"/>
      <c r="AC206" s="12" t="str" cm="1">
        <f t="array" ref="AC206">IF(OR(NOT(ISBLANK(AG2x6)), NOT(ISBLANK(AH2x6)), NOT(ISBLANK(AR2x6)), NOT(ISBLANK(AO2x6))), "x", "")</f>
        <v>x</v>
      </c>
      <c r="AD206" s="12"/>
      <c r="AE206" s="12" t="s">
        <v>701</v>
      </c>
      <c r="AF206" s="12" t="s">
        <v>701</v>
      </c>
      <c r="AG206" s="12" t="s">
        <v>701</v>
      </c>
      <c r="AH206" s="12"/>
      <c r="AI206" s="12"/>
      <c r="AJ206" s="12"/>
      <c r="AK206" s="12"/>
      <c r="AL206" s="12"/>
      <c r="AM206" s="12"/>
      <c r="AN206" s="12" t="s">
        <v>701</v>
      </c>
      <c r="AO206" s="12"/>
      <c r="AP206" s="12" t="s">
        <v>701</v>
      </c>
      <c r="AQ206" s="12" t="s">
        <v>701</v>
      </c>
    </row>
    <row r="207" spans="1:43" ht="13.5">
      <c r="A207" s="11" t="s">
        <v>225</v>
      </c>
      <c r="B207" s="12" t="s">
        <v>592</v>
      </c>
      <c r="C207" s="12" t="s">
        <v>701</v>
      </c>
      <c r="D207" s="12" t="s">
        <v>701</v>
      </c>
      <c r="E207" s="12"/>
      <c r="F207" s="12" t="s">
        <v>701</v>
      </c>
      <c r="G207" s="12" t="s">
        <v>701</v>
      </c>
      <c r="H207" s="12" t="s">
        <v>701</v>
      </c>
      <c r="I207" s="12" t="s">
        <v>701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 t="s">
        <v>701</v>
      </c>
      <c r="T207" s="12"/>
      <c r="U207" s="12" t="s">
        <v>701</v>
      </c>
      <c r="V207" s="12" t="s">
        <v>701</v>
      </c>
      <c r="W207" s="12"/>
      <c r="X207" s="12"/>
      <c r="Y207" s="12"/>
      <c r="Z207" s="12" t="s">
        <v>701</v>
      </c>
      <c r="AA207" s="12" t="s">
        <v>701</v>
      </c>
      <c r="AB207" s="12"/>
      <c r="AC207" s="12" t="str" cm="1">
        <f t="array" ref="AC207">IF(OR(NOT(ISBLANK(AG2x7)), NOT(ISBLANK(AH2x7)), NOT(ISBLANK(AR2x7)), NOT(ISBLANK(AO2x7))), "x", "")</f>
        <v>x</v>
      </c>
      <c r="AD207" s="12"/>
      <c r="AE207" s="12" t="s">
        <v>701</v>
      </c>
      <c r="AF207" s="12" t="s">
        <v>701</v>
      </c>
      <c r="AG207" s="12" t="s">
        <v>701</v>
      </c>
      <c r="AH207" s="12"/>
      <c r="AI207" s="12"/>
      <c r="AJ207" s="12"/>
      <c r="AK207" s="12"/>
      <c r="AL207" s="12"/>
      <c r="AM207" s="12"/>
      <c r="AN207" s="12"/>
      <c r="AO207" s="12"/>
      <c r="AP207" s="12" t="s">
        <v>701</v>
      </c>
      <c r="AQ207" s="12" t="s">
        <v>701</v>
      </c>
    </row>
    <row r="208" spans="1:43" ht="13.5">
      <c r="A208" s="11" t="s">
        <v>226</v>
      </c>
      <c r="B208" s="12" t="s">
        <v>587</v>
      </c>
      <c r="C208" s="12" t="s">
        <v>701</v>
      </c>
      <c r="D208" s="12" t="s">
        <v>701</v>
      </c>
      <c r="E208" s="12"/>
      <c r="F208" s="12" t="s">
        <v>701</v>
      </c>
      <c r="G208" s="12" t="s">
        <v>701</v>
      </c>
      <c r="H208" s="12" t="s">
        <v>701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 t="s">
        <v>701</v>
      </c>
      <c r="T208" s="12"/>
      <c r="U208" s="12" t="s">
        <v>701</v>
      </c>
      <c r="V208" s="12" t="s">
        <v>701</v>
      </c>
      <c r="W208" s="12"/>
      <c r="X208" s="12"/>
      <c r="Y208" s="12"/>
      <c r="Z208" s="12" t="s">
        <v>701</v>
      </c>
      <c r="AA208" s="12" t="s">
        <v>701</v>
      </c>
      <c r="AB208" s="12"/>
      <c r="AC208" s="12" t="str" cm="1">
        <f t="array" ref="AC208">IF(OR(NOT(ISBLANK(AG2x8)), NOT(ISBLANK(AH2x8)), NOT(ISBLANK(AR2x8)), NOT(ISBLANK(AO2x8))), "x", "")</f>
        <v>x</v>
      </c>
      <c r="AD208" s="12" t="s">
        <v>701</v>
      </c>
      <c r="AE208" s="12"/>
      <c r="AF208" s="12" t="s">
        <v>701</v>
      </c>
      <c r="AG208" s="12" t="s">
        <v>701</v>
      </c>
      <c r="AH208" s="12"/>
      <c r="AI208" s="12"/>
      <c r="AJ208" s="12"/>
      <c r="AK208" s="12"/>
      <c r="AL208" s="12"/>
      <c r="AM208" s="12" t="s">
        <v>701</v>
      </c>
      <c r="AN208" s="12"/>
      <c r="AO208" s="12" t="s">
        <v>701</v>
      </c>
      <c r="AP208" s="12" t="s">
        <v>701</v>
      </c>
      <c r="AQ208" s="12" t="s">
        <v>701</v>
      </c>
    </row>
    <row r="209" spans="1:43" ht="13.5">
      <c r="A209" s="11" t="s">
        <v>227</v>
      </c>
      <c r="B209" s="12" t="s">
        <v>597</v>
      </c>
      <c r="C209" s="12" t="s">
        <v>701</v>
      </c>
      <c r="D209" s="12" t="s">
        <v>701</v>
      </c>
      <c r="E209" s="12"/>
      <c r="F209" s="12" t="s">
        <v>701</v>
      </c>
      <c r="G209" s="12"/>
      <c r="H209" s="12"/>
      <c r="I209" s="12"/>
      <c r="J209" s="12"/>
      <c r="K209" s="12"/>
      <c r="L209" s="12"/>
      <c r="M209" s="12" t="s">
        <v>701</v>
      </c>
      <c r="N209" s="12"/>
      <c r="O209" s="12" t="s">
        <v>701</v>
      </c>
      <c r="P209" s="12"/>
      <c r="Q209" s="12" t="s">
        <v>701</v>
      </c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 t="str" cm="1">
        <f t="array" ref="AC209">IF(OR(NOT(ISBLANK(AG2x9)), NOT(ISBLANK(AH2x9)), NOT(ISBLANK(AR2x9)), NOT(ISBLANK(AO2x9))), "x", "")</f>
        <v>x</v>
      </c>
      <c r="AD209" s="12" t="s">
        <v>701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spans="1:43" ht="13.5">
      <c r="A210" s="11" t="s">
        <v>228</v>
      </c>
      <c r="B210" s="12" t="s">
        <v>587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 t="str" cm="1">
        <f t="array" ref="AC210">IF(OR(NOT(ISBLANK(AG21x)), NOT(ISBLANK(AH21x)), NOT(ISBLANK(AR21x)), NOT(ISBLANK(AO21x))), "x", "")</f>
        <v>x</v>
      </c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 spans="1:43" ht="13.5">
      <c r="A211" s="11" t="s">
        <v>229</v>
      </c>
      <c r="B211" s="12" t="s">
        <v>594</v>
      </c>
      <c r="C211" s="12" t="s">
        <v>701</v>
      </c>
      <c r="D211" s="12" t="s">
        <v>701</v>
      </c>
      <c r="E211" s="12"/>
      <c r="F211" s="12"/>
      <c r="G211" s="12"/>
      <c r="H211" s="12" t="s">
        <v>701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 t="str">
        <f>IF(OR(NOT(ISBLANK(AF211)), NOT(ISBLANK(AG211)), NOT(ISBLANK(AQ211)), NOT(ISBLANK(AN211))), "x", "")</f>
        <v/>
      </c>
      <c r="AD211" s="12" t="s">
        <v>701</v>
      </c>
      <c r="AE211" s="12"/>
      <c r="AF211" s="12"/>
      <c r="AG211" s="12"/>
      <c r="AH211" s="12"/>
      <c r="AI211" s="12" t="s">
        <v>701</v>
      </c>
      <c r="AJ211" s="12"/>
      <c r="AK211" s="12"/>
      <c r="AL211" s="12"/>
      <c r="AM211" s="12" t="s">
        <v>701</v>
      </c>
      <c r="AN211" s="12"/>
      <c r="AO211" s="12" t="s">
        <v>701</v>
      </c>
      <c r="AP211" s="12" t="s">
        <v>701</v>
      </c>
      <c r="AQ211" s="12"/>
    </row>
    <row r="212" spans="1:43" ht="13.5">
      <c r="A212" s="11" t="s">
        <v>230</v>
      </c>
      <c r="B212" s="12" t="s">
        <v>591</v>
      </c>
      <c r="C212" s="12"/>
      <c r="D212" s="12" t="s">
        <v>701</v>
      </c>
      <c r="E212" s="12"/>
      <c r="F212" s="12"/>
      <c r="G212" s="12" t="s">
        <v>701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 t="s">
        <v>701</v>
      </c>
      <c r="Z212" s="12" t="s">
        <v>701</v>
      </c>
      <c r="AA212" s="12" t="s">
        <v>701</v>
      </c>
      <c r="AB212" s="12"/>
      <c r="AC212" s="12" t="str">
        <f>IF(OR(NOT(ISBLANK(AF212)), NOT(ISBLANK(AG212)), NOT(ISBLANK(AQ212)), NOT(ISBLANK(AN212))), "x", "")</f>
        <v>x</v>
      </c>
      <c r="AD212" s="12" t="s">
        <v>701</v>
      </c>
      <c r="AE212" s="12"/>
      <c r="AF212" s="12" t="s">
        <v>701</v>
      </c>
      <c r="AG212" s="12"/>
      <c r="AH212" s="12"/>
      <c r="AI212" s="12" t="s">
        <v>701</v>
      </c>
      <c r="AJ212" s="12"/>
      <c r="AK212" s="12"/>
      <c r="AL212" s="12"/>
      <c r="AM212" s="12" t="s">
        <v>701</v>
      </c>
      <c r="AN212" s="12"/>
      <c r="AO212" s="12"/>
      <c r="AP212" s="12"/>
      <c r="AQ212" s="12"/>
    </row>
    <row r="213" spans="1:43" ht="13.5">
      <c r="A213" s="11" t="s">
        <v>231</v>
      </c>
      <c r="B213" s="12" t="s">
        <v>593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 t="str">
        <f>IF(OR(NOT(ISBLANK(AF213)), NOT(ISBLANK(AG213)), NOT(ISBLANK(AQ213)), NOT(ISBLANK(AN213))), "x", "")</f>
        <v/>
      </c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 spans="1:43" ht="13.5">
      <c r="A214" s="11" t="s">
        <v>232</v>
      </c>
      <c r="B214" s="12" t="s">
        <v>593</v>
      </c>
      <c r="C214" s="12" t="s">
        <v>701</v>
      </c>
      <c r="D214" s="12" t="s">
        <v>701</v>
      </c>
      <c r="E214" s="12"/>
      <c r="F214" s="12"/>
      <c r="G214" s="12" t="s">
        <v>701</v>
      </c>
      <c r="H214" s="12" t="s">
        <v>701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 t="s">
        <v>701</v>
      </c>
      <c r="T214" s="12"/>
      <c r="U214" s="12"/>
      <c r="V214" s="12" t="s">
        <v>701</v>
      </c>
      <c r="W214" s="12"/>
      <c r="X214" s="12"/>
      <c r="Y214" s="12" t="s">
        <v>701</v>
      </c>
      <c r="Z214" s="12"/>
      <c r="AA214" s="12" t="s">
        <v>701</v>
      </c>
      <c r="AB214" s="12"/>
      <c r="AC214" s="12" t="str">
        <f>IF(OR(NOT(ISBLANK(AF214)), NOT(ISBLANK(AG214)), NOT(ISBLANK(AQ214)), NOT(ISBLANK(AN214))), "x", "")</f>
        <v>x</v>
      </c>
      <c r="AD214" s="12" t="s">
        <v>701</v>
      </c>
      <c r="AE214" s="12"/>
      <c r="AF214" s="12" t="s">
        <v>701</v>
      </c>
      <c r="AG214" s="12"/>
      <c r="AH214" s="12" t="s">
        <v>701</v>
      </c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 spans="1:43" ht="13.5">
      <c r="A215" s="11" t="s">
        <v>233</v>
      </c>
      <c r="B215" s="12" t="s">
        <v>593</v>
      </c>
      <c r="C215" s="12" t="s">
        <v>701</v>
      </c>
      <c r="D215" s="12" t="s">
        <v>701</v>
      </c>
      <c r="E215" s="12"/>
      <c r="F215" s="12" t="s">
        <v>701</v>
      </c>
      <c r="G215" s="12"/>
      <c r="H215" s="12" t="s">
        <v>701</v>
      </c>
      <c r="I215" s="12" t="s">
        <v>701</v>
      </c>
      <c r="J215" s="12" t="s">
        <v>701</v>
      </c>
      <c r="K215" s="12"/>
      <c r="L215" s="12"/>
      <c r="M215" s="12"/>
      <c r="N215" s="12"/>
      <c r="O215" s="12" t="s">
        <v>701</v>
      </c>
      <c r="P215" s="12"/>
      <c r="Q215" s="12"/>
      <c r="R215" s="12"/>
      <c r="S215" s="12" t="s">
        <v>701</v>
      </c>
      <c r="T215" s="12"/>
      <c r="U215" s="12"/>
      <c r="V215" s="12" t="s">
        <v>701</v>
      </c>
      <c r="W215" s="12"/>
      <c r="X215" s="12" t="s">
        <v>701</v>
      </c>
      <c r="Y215" s="12" t="s">
        <v>701</v>
      </c>
      <c r="Z215" s="12" t="s">
        <v>701</v>
      </c>
      <c r="AA215" s="12" t="s">
        <v>701</v>
      </c>
      <c r="AB215" s="12" t="s">
        <v>701</v>
      </c>
      <c r="AC215" s="12" t="str">
        <f>IF(OR(NOT(ISBLANK(AF215)), NOT(ISBLANK(AG215)), NOT(ISBLANK(AQ215)), NOT(ISBLANK(AN215))), "x", "")</f>
        <v>x</v>
      </c>
      <c r="AD215" s="12" t="s">
        <v>701</v>
      </c>
      <c r="AE215" s="12"/>
      <c r="AF215" s="12" t="s">
        <v>701</v>
      </c>
      <c r="AG215" s="12"/>
      <c r="AH215" s="12" t="s">
        <v>701</v>
      </c>
      <c r="AI215" s="12"/>
      <c r="AJ215" s="12"/>
      <c r="AK215" s="12"/>
      <c r="AL215" s="12"/>
      <c r="AM215" s="12" t="s">
        <v>701</v>
      </c>
      <c r="AN215" s="12"/>
      <c r="AO215" s="12" t="s">
        <v>701</v>
      </c>
      <c r="AP215" s="12"/>
      <c r="AQ215" s="12"/>
    </row>
    <row r="216" spans="1:43" ht="13.5">
      <c r="A216" s="11" t="s">
        <v>234</v>
      </c>
      <c r="B216" s="12" t="s">
        <v>587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 t="str">
        <f>IF(OR(NOT(ISBLANK(AF216)), NOT(ISBLANK(AG216)), NOT(ISBLANK(AQ216)), NOT(ISBLANK(AN216))), "x", "")</f>
        <v/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 spans="1:43" ht="13.5">
      <c r="A217" s="11" t="s">
        <v>235</v>
      </c>
      <c r="B217" s="12" t="s">
        <v>590</v>
      </c>
      <c r="C217" s="12" t="s">
        <v>701</v>
      </c>
      <c r="D217" s="12"/>
      <c r="E217" s="12"/>
      <c r="F217" s="12" t="s">
        <v>701</v>
      </c>
      <c r="G217" s="12" t="s">
        <v>701</v>
      </c>
      <c r="H217" s="12"/>
      <c r="I217" s="12"/>
      <c r="J217" s="12" t="s">
        <v>701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 t="s">
        <v>701</v>
      </c>
      <c r="AB217" s="12"/>
      <c r="AC217" s="12" t="str">
        <f>IF(OR(NOT(ISBLANK(AF217)), NOT(ISBLANK(AG217)), NOT(ISBLANK(AQ217)), NOT(ISBLANK(AN217))), "x", "")</f>
        <v/>
      </c>
      <c r="AD217" s="12" t="s">
        <v>701</v>
      </c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 spans="1:43" ht="13.5">
      <c r="A218" s="11" t="s">
        <v>236</v>
      </c>
      <c r="B218" s="12" t="s">
        <v>587</v>
      </c>
      <c r="C218" s="12" t="s">
        <v>701</v>
      </c>
      <c r="D218" s="12" t="s">
        <v>701</v>
      </c>
      <c r="E218" s="12"/>
      <c r="F218" s="12" t="s">
        <v>701</v>
      </c>
      <c r="G218" s="12" t="s">
        <v>701</v>
      </c>
      <c r="H218" s="12" t="s">
        <v>701</v>
      </c>
      <c r="I218" s="12"/>
      <c r="J218" s="12"/>
      <c r="K218" s="12"/>
      <c r="L218" s="12"/>
      <c r="M218" s="12"/>
      <c r="N218" s="12"/>
      <c r="O218" s="12"/>
      <c r="P218" s="12"/>
      <c r="Q218" s="12" t="s">
        <v>701</v>
      </c>
      <c r="R218" s="12"/>
      <c r="S218" s="12" t="s">
        <v>701</v>
      </c>
      <c r="T218" s="12"/>
      <c r="U218" s="12" t="s">
        <v>701</v>
      </c>
      <c r="V218" s="12" t="s">
        <v>701</v>
      </c>
      <c r="W218" s="12"/>
      <c r="X218" s="12"/>
      <c r="Y218" s="12"/>
      <c r="Z218" s="12" t="s">
        <v>701</v>
      </c>
      <c r="AA218" s="12"/>
      <c r="AB218" s="12"/>
      <c r="AC218" s="12" t="str">
        <f>IF(OR(NOT(ISBLANK(AF218)), NOT(ISBLANK(AG218)), NOT(ISBLANK(AQ218)), NOT(ISBLANK(AN218))), "x", "")</f>
        <v>x</v>
      </c>
      <c r="AD218" s="12" t="s">
        <v>701</v>
      </c>
      <c r="AE218" s="12"/>
      <c r="AF218" s="12" t="s">
        <v>701</v>
      </c>
      <c r="AG218" s="12"/>
      <c r="AH218" s="12"/>
      <c r="AI218" s="12"/>
      <c r="AJ218" s="12"/>
      <c r="AK218" s="12"/>
      <c r="AL218" s="12"/>
      <c r="AM218" s="12" t="s">
        <v>701</v>
      </c>
      <c r="AN218" s="12"/>
      <c r="AO218" s="12" t="s">
        <v>701</v>
      </c>
      <c r="AP218" s="12" t="s">
        <v>701</v>
      </c>
      <c r="AQ218" s="12" t="s">
        <v>701</v>
      </c>
    </row>
    <row r="219" spans="1:43" ht="13.5">
      <c r="A219" s="11" t="s">
        <v>237</v>
      </c>
      <c r="B219" s="12" t="s">
        <v>591</v>
      </c>
      <c r="C219" s="12" t="s">
        <v>701</v>
      </c>
      <c r="D219" s="12" t="s">
        <v>701</v>
      </c>
      <c r="E219" s="12"/>
      <c r="F219" s="12" t="s">
        <v>701</v>
      </c>
      <c r="G219" s="12" t="s">
        <v>701</v>
      </c>
      <c r="H219" s="12" t="s">
        <v>701</v>
      </c>
      <c r="I219" s="12"/>
      <c r="J219" s="12"/>
      <c r="K219" s="12"/>
      <c r="L219" s="12"/>
      <c r="M219" s="12"/>
      <c r="N219" s="12"/>
      <c r="O219" s="12" t="s">
        <v>701</v>
      </c>
      <c r="P219" s="12"/>
      <c r="Q219" s="12" t="s">
        <v>701</v>
      </c>
      <c r="R219" s="12"/>
      <c r="S219" s="12"/>
      <c r="T219" s="12"/>
      <c r="U219" s="12"/>
      <c r="V219" s="12"/>
      <c r="W219" s="12"/>
      <c r="X219" s="12"/>
      <c r="Y219" s="12"/>
      <c r="Z219" s="12"/>
      <c r="AA219" s="12" t="s">
        <v>701</v>
      </c>
      <c r="AB219" s="12"/>
      <c r="AC219" s="12" t="str">
        <f>IF(OR(NOT(ISBLANK(AF219)), NOT(ISBLANK(AG219)), NOT(ISBLANK(AQ219)), NOT(ISBLANK(AN219))), "x", "")</f>
        <v>x</v>
      </c>
      <c r="AD219" s="12" t="s">
        <v>701</v>
      </c>
      <c r="AE219" s="12"/>
      <c r="AF219" s="12"/>
      <c r="AG219" s="12"/>
      <c r="AH219" s="12"/>
      <c r="AI219" s="12"/>
      <c r="AJ219" s="12"/>
      <c r="AK219" s="12"/>
      <c r="AL219" s="12"/>
      <c r="AM219" s="12" t="s">
        <v>701</v>
      </c>
      <c r="AN219" s="12"/>
      <c r="AO219" s="12" t="s">
        <v>701</v>
      </c>
      <c r="AP219" s="12" t="s">
        <v>701</v>
      </c>
      <c r="AQ219" s="12" t="s">
        <v>701</v>
      </c>
    </row>
    <row r="220" spans="1:43" ht="13.5">
      <c r="A220" s="11" t="s">
        <v>238</v>
      </c>
      <c r="B220" s="12" t="s">
        <v>588</v>
      </c>
      <c r="C220" s="12" t="s">
        <v>701</v>
      </c>
      <c r="D220" s="12" t="s">
        <v>701</v>
      </c>
      <c r="E220" s="12"/>
      <c r="F220" s="12" t="s">
        <v>701</v>
      </c>
      <c r="G220" s="12" t="s">
        <v>701</v>
      </c>
      <c r="H220" s="12" t="s">
        <v>701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 t="s">
        <v>701</v>
      </c>
      <c r="T220" s="12"/>
      <c r="U220" s="12"/>
      <c r="V220" s="12" t="s">
        <v>701</v>
      </c>
      <c r="W220" s="12"/>
      <c r="X220" s="12"/>
      <c r="Y220" s="12"/>
      <c r="Z220" s="12"/>
      <c r="AA220" s="12" t="s">
        <v>701</v>
      </c>
      <c r="AB220" s="12"/>
      <c r="AC220" s="12" t="str" cm="1">
        <f t="array" ref="AC220">IF(OR(NOT(ISBLANK(AG22x)), NOT(ISBLANK(AH22x)), NOT(ISBLANK(AR22x)), NOT(ISBLANK(AO22x))), "x", "")</f>
        <v>x</v>
      </c>
      <c r="AD220" s="12" t="s">
        <v>701</v>
      </c>
      <c r="AE220" s="12"/>
      <c r="AF220" s="12" t="s">
        <v>701</v>
      </c>
      <c r="AG220" s="12"/>
      <c r="AH220" s="12"/>
      <c r="AI220" s="12"/>
      <c r="AJ220" s="12"/>
      <c r="AK220" s="12"/>
      <c r="AL220" s="12"/>
      <c r="AM220" s="12" t="s">
        <v>701</v>
      </c>
      <c r="AN220" s="12"/>
      <c r="AO220" s="12" t="s">
        <v>701</v>
      </c>
      <c r="AP220" s="12" t="s">
        <v>701</v>
      </c>
      <c r="AQ220" s="12"/>
    </row>
    <row r="221" spans="1:43" ht="13.5">
      <c r="A221" s="11" t="s">
        <v>239</v>
      </c>
      <c r="B221" s="12" t="s">
        <v>607</v>
      </c>
      <c r="C221" s="12" t="s">
        <v>701</v>
      </c>
      <c r="D221" s="12" t="s">
        <v>701</v>
      </c>
      <c r="E221" s="12"/>
      <c r="F221" s="12" t="s">
        <v>701</v>
      </c>
      <c r="G221" s="12" t="s">
        <v>701</v>
      </c>
      <c r="H221" s="12" t="s">
        <v>701</v>
      </c>
      <c r="I221" s="12" t="s">
        <v>701</v>
      </c>
      <c r="J221" s="12" t="s">
        <v>701</v>
      </c>
      <c r="K221" s="12"/>
      <c r="L221" s="12"/>
      <c r="M221" s="12" t="s">
        <v>701</v>
      </c>
      <c r="N221" s="12"/>
      <c r="O221" s="12" t="s">
        <v>701</v>
      </c>
      <c r="P221" s="12"/>
      <c r="Q221" s="12" t="s">
        <v>701</v>
      </c>
      <c r="R221" s="12"/>
      <c r="S221" s="12" t="s">
        <v>701</v>
      </c>
      <c r="T221" s="12"/>
      <c r="U221" s="12" t="s">
        <v>701</v>
      </c>
      <c r="V221" s="12" t="s">
        <v>701</v>
      </c>
      <c r="W221" s="12" t="s">
        <v>701</v>
      </c>
      <c r="X221" s="12" t="s">
        <v>701</v>
      </c>
      <c r="Y221" s="12" t="s">
        <v>701</v>
      </c>
      <c r="Z221" s="12" t="s">
        <v>701</v>
      </c>
      <c r="AA221" s="12" t="s">
        <v>701</v>
      </c>
      <c r="AB221" s="12"/>
      <c r="AC221" s="12" t="str">
        <f>IF(OR(NOT(ISBLANK(AF221)), NOT(ISBLANK(AG221)), NOT(ISBLANK(AQ221)), NOT(ISBLANK(AN221))), "x", "")</f>
        <v>x</v>
      </c>
      <c r="AD221" s="12" t="s">
        <v>701</v>
      </c>
      <c r="AE221" s="12"/>
      <c r="AF221" s="12" t="s">
        <v>701</v>
      </c>
      <c r="AG221" s="12"/>
      <c r="AH221" s="12"/>
      <c r="AI221" s="12"/>
      <c r="AJ221" s="12"/>
      <c r="AK221" s="12"/>
      <c r="AL221" s="12"/>
      <c r="AM221" s="12" t="s">
        <v>701</v>
      </c>
      <c r="AN221" s="12"/>
      <c r="AO221" s="12" t="s">
        <v>701</v>
      </c>
      <c r="AP221" s="12" t="s">
        <v>701</v>
      </c>
      <c r="AQ221" s="12" t="s">
        <v>701</v>
      </c>
    </row>
    <row r="222" spans="1:43" ht="13.5">
      <c r="A222" s="11" t="s">
        <v>240</v>
      </c>
      <c r="B222" s="12" t="s">
        <v>608</v>
      </c>
      <c r="C222" s="12" t="s">
        <v>701</v>
      </c>
      <c r="D222" s="12" t="s">
        <v>701</v>
      </c>
      <c r="E222" s="12"/>
      <c r="F222" s="12"/>
      <c r="G222" s="12" t="s">
        <v>701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 t="s">
        <v>701</v>
      </c>
      <c r="AB222" s="12"/>
      <c r="AC222" s="12" t="str">
        <f>IF(OR(NOT(ISBLANK(AF222)), NOT(ISBLANK(AG222)), NOT(ISBLANK(AQ222)), NOT(ISBLANK(AN222))), "x", "")</f>
        <v>x</v>
      </c>
      <c r="AD222" s="12" t="s">
        <v>701</v>
      </c>
      <c r="AE222" s="12"/>
      <c r="AF222" s="12" t="s">
        <v>701</v>
      </c>
      <c r="AG222" s="12" t="s">
        <v>701</v>
      </c>
      <c r="AH222" s="12"/>
      <c r="AI222" s="12"/>
      <c r="AJ222" s="12"/>
      <c r="AK222" s="12"/>
      <c r="AL222" s="12"/>
      <c r="AM222" s="12" t="s">
        <v>701</v>
      </c>
      <c r="AN222" s="12"/>
      <c r="AO222" s="12" t="s">
        <v>701</v>
      </c>
      <c r="AP222" s="12" t="s">
        <v>701</v>
      </c>
      <c r="AQ222" s="12" t="s">
        <v>701</v>
      </c>
    </row>
    <row r="223" spans="1:43" ht="13.5">
      <c r="A223" s="11" t="s">
        <v>241</v>
      </c>
      <c r="B223" s="12" t="s">
        <v>587</v>
      </c>
      <c r="C223" s="12" t="s">
        <v>701</v>
      </c>
      <c r="D223" s="12" t="s">
        <v>701</v>
      </c>
      <c r="E223" s="12"/>
      <c r="F223" s="12" t="s">
        <v>701</v>
      </c>
      <c r="G223" s="12" t="s">
        <v>701</v>
      </c>
      <c r="H223" s="12"/>
      <c r="I223" s="12"/>
      <c r="J223" s="12"/>
      <c r="K223" s="12"/>
      <c r="L223" s="12"/>
      <c r="M223" s="12" t="s">
        <v>701</v>
      </c>
      <c r="N223" s="12"/>
      <c r="O223" s="12" t="s">
        <v>701</v>
      </c>
      <c r="P223" s="12"/>
      <c r="Q223" s="12"/>
      <c r="R223" s="12"/>
      <c r="S223" s="12"/>
      <c r="T223" s="12"/>
      <c r="U223" s="12"/>
      <c r="V223" s="12"/>
      <c r="W223" s="12" t="s">
        <v>701</v>
      </c>
      <c r="X223" s="12"/>
      <c r="Y223" s="12"/>
      <c r="Z223" s="12"/>
      <c r="AA223" s="12"/>
      <c r="AB223" s="12"/>
      <c r="AC223" s="12" t="str">
        <f>IF(OR(NOT(ISBLANK(AF223)), NOT(ISBLANK(AG223)), NOT(ISBLANK(AQ223)), NOT(ISBLANK(AN223))), "x", "")</f>
        <v/>
      </c>
      <c r="AD223" s="12"/>
      <c r="AE223" s="12"/>
      <c r="AF223" s="12"/>
      <c r="AG223" s="12"/>
      <c r="AH223" s="12"/>
      <c r="AI223" s="12" t="s">
        <v>701</v>
      </c>
      <c r="AJ223" s="12"/>
      <c r="AK223" s="12"/>
      <c r="AL223" s="12"/>
      <c r="AM223" s="12"/>
      <c r="AN223" s="12"/>
      <c r="AO223" s="12"/>
      <c r="AP223" s="12"/>
      <c r="AQ223" s="12"/>
    </row>
    <row r="224" spans="1:43" ht="13.5">
      <c r="A224" s="11" t="s">
        <v>242</v>
      </c>
      <c r="B224" s="12" t="s">
        <v>587</v>
      </c>
      <c r="C224" s="12"/>
      <c r="D224" s="12" t="s">
        <v>701</v>
      </c>
      <c r="E224" s="12"/>
      <c r="F224" s="12" t="s">
        <v>701</v>
      </c>
      <c r="G224" s="12" t="s">
        <v>701</v>
      </c>
      <c r="H224" s="12" t="s">
        <v>701</v>
      </c>
      <c r="I224" s="12"/>
      <c r="J224" s="12" t="s">
        <v>701</v>
      </c>
      <c r="K224" s="12"/>
      <c r="L224" s="12"/>
      <c r="M224" s="12" t="s">
        <v>701</v>
      </c>
      <c r="N224" s="12"/>
      <c r="O224" s="12" t="s">
        <v>701</v>
      </c>
      <c r="P224" s="12"/>
      <c r="Q224" s="12" t="s">
        <v>701</v>
      </c>
      <c r="R224" s="12"/>
      <c r="S224" s="12" t="s">
        <v>701</v>
      </c>
      <c r="T224" s="12"/>
      <c r="U224" s="12" t="s">
        <v>701</v>
      </c>
      <c r="V224" s="12" t="s">
        <v>701</v>
      </c>
      <c r="W224" s="12" t="s">
        <v>701</v>
      </c>
      <c r="X224" s="12"/>
      <c r="Y224" s="12" t="s">
        <v>701</v>
      </c>
      <c r="Z224" s="12" t="s">
        <v>701</v>
      </c>
      <c r="AA224" s="12" t="s">
        <v>701</v>
      </c>
      <c r="AB224" s="12"/>
      <c r="AC224" s="12" t="str">
        <f>IF(OR(NOT(ISBLANK(AF224)), NOT(ISBLANK(AG224)), NOT(ISBLANK(AQ224)), NOT(ISBLANK(AN224))), "x", "")</f>
        <v>x</v>
      </c>
      <c r="AD224" s="12" t="s">
        <v>701</v>
      </c>
      <c r="AE224" s="12" t="s">
        <v>701</v>
      </c>
      <c r="AF224" s="12" t="s">
        <v>701</v>
      </c>
      <c r="AG224" s="12" t="s">
        <v>701</v>
      </c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 spans="1:43" ht="13.5">
      <c r="A225" s="11" t="s">
        <v>243</v>
      </c>
      <c r="B225" s="12" t="s">
        <v>608</v>
      </c>
      <c r="C225" s="12" t="s">
        <v>701</v>
      </c>
      <c r="D225" s="12" t="s">
        <v>701</v>
      </c>
      <c r="E225" s="12"/>
      <c r="F225" s="12" t="s">
        <v>701</v>
      </c>
      <c r="G225" s="12" t="s">
        <v>701</v>
      </c>
      <c r="H225" s="12"/>
      <c r="I225" s="12"/>
      <c r="J225" s="12"/>
      <c r="K225" s="12"/>
      <c r="L225" s="12"/>
      <c r="M225" s="12" t="s">
        <v>701</v>
      </c>
      <c r="N225" s="12"/>
      <c r="O225" s="12" t="s">
        <v>701</v>
      </c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 t="s">
        <v>701</v>
      </c>
      <c r="AA225" s="12" t="s">
        <v>701</v>
      </c>
      <c r="AB225" s="12"/>
      <c r="AC225" s="12" t="str">
        <f>IF(OR(NOT(ISBLANK(AF225)), NOT(ISBLANK(AG225)), NOT(ISBLANK(AQ225)), NOT(ISBLANK(AN225))), "x", "")</f>
        <v>x</v>
      </c>
      <c r="AD225" s="12"/>
      <c r="AE225" s="12"/>
      <c r="AF225" s="12" t="s">
        <v>701</v>
      </c>
      <c r="AG225" s="12" t="s">
        <v>701</v>
      </c>
      <c r="AH225" s="12"/>
      <c r="AI225" s="12"/>
      <c r="AJ225" s="12"/>
      <c r="AK225" s="12"/>
      <c r="AL225" s="12"/>
      <c r="AM225" s="12" t="s">
        <v>701</v>
      </c>
      <c r="AN225" s="12"/>
      <c r="AO225" s="12"/>
      <c r="AP225" s="12" t="s">
        <v>701</v>
      </c>
      <c r="AQ225" s="12" t="s">
        <v>701</v>
      </c>
    </row>
    <row r="226" spans="1:43" ht="13.5">
      <c r="A226" s="11" t="s">
        <v>244</v>
      </c>
      <c r="B226" s="12" t="s">
        <v>593</v>
      </c>
      <c r="C226" s="12" t="s">
        <v>701</v>
      </c>
      <c r="D226" s="12" t="s">
        <v>701</v>
      </c>
      <c r="E226" s="12"/>
      <c r="F226" s="12"/>
      <c r="G226" s="12"/>
      <c r="H226" s="12"/>
      <c r="I226" s="12"/>
      <c r="J226" s="12" t="s">
        <v>701</v>
      </c>
      <c r="K226" s="12"/>
      <c r="L226" s="12"/>
      <c r="M226" s="12" t="s">
        <v>701</v>
      </c>
      <c r="N226" s="12"/>
      <c r="O226" s="12" t="s">
        <v>701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 t="str">
        <f>IF(OR(NOT(ISBLANK(AF226)), NOT(ISBLANK(AG226)), NOT(ISBLANK(AQ226)), NOT(ISBLANK(AN226))), "x", "")</f>
        <v/>
      </c>
      <c r="AD226" s="12" t="s">
        <v>701</v>
      </c>
      <c r="AE226" s="12"/>
      <c r="AF226" s="12"/>
      <c r="AG226" s="12"/>
      <c r="AH226" s="12"/>
      <c r="AI226" s="12"/>
      <c r="AJ226" s="12"/>
      <c r="AK226" s="12"/>
      <c r="AL226" s="12"/>
      <c r="AM226" s="12" t="s">
        <v>701</v>
      </c>
      <c r="AN226" s="12"/>
      <c r="AO226" s="12"/>
      <c r="AP226" s="12"/>
      <c r="AQ226" s="12"/>
    </row>
    <row r="227" spans="1:43" ht="13.5">
      <c r="A227" s="11" t="s">
        <v>245</v>
      </c>
      <c r="B227" s="12" t="s">
        <v>598</v>
      </c>
      <c r="C227" s="12" t="s">
        <v>701</v>
      </c>
      <c r="D227" s="12" t="s">
        <v>701</v>
      </c>
      <c r="E227" s="12"/>
      <c r="F227" s="12"/>
      <c r="G227" s="12" t="s">
        <v>701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 t="s">
        <v>701</v>
      </c>
      <c r="AA227" s="12" t="s">
        <v>701</v>
      </c>
      <c r="AB227" s="12"/>
      <c r="AC227" s="12" t="str">
        <f>IF(OR(NOT(ISBLANK(AF227)), NOT(ISBLANK(AG227)), NOT(ISBLANK(AQ227)), NOT(ISBLANK(AN227))), "x", "")</f>
        <v>x</v>
      </c>
      <c r="AD227" s="12"/>
      <c r="AE227" s="12"/>
      <c r="AF227" s="12"/>
      <c r="AG227" s="12" t="s">
        <v>701</v>
      </c>
      <c r="AH227" s="12"/>
      <c r="AI227" s="12"/>
      <c r="AJ227" s="12"/>
      <c r="AK227" s="12"/>
      <c r="AL227" s="12"/>
      <c r="AM227" s="12" t="s">
        <v>701</v>
      </c>
      <c r="AN227" s="12"/>
      <c r="AO227" s="12" t="s">
        <v>701</v>
      </c>
      <c r="AP227" s="12" t="s">
        <v>701</v>
      </c>
      <c r="AQ227" s="12"/>
    </row>
    <row r="228" spans="1:43" ht="13.5">
      <c r="A228" s="11" t="s">
        <v>246</v>
      </c>
      <c r="B228" s="12" t="s">
        <v>598</v>
      </c>
      <c r="C228" s="12" t="s">
        <v>701</v>
      </c>
      <c r="D228" s="12" t="s">
        <v>701</v>
      </c>
      <c r="E228" s="12"/>
      <c r="F228" s="12"/>
      <c r="G228" s="12" t="s">
        <v>701</v>
      </c>
      <c r="H228" s="12" t="s">
        <v>701</v>
      </c>
      <c r="I228" s="12" t="s">
        <v>701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 t="s">
        <v>701</v>
      </c>
      <c r="AA228" s="12" t="s">
        <v>701</v>
      </c>
      <c r="AB228" s="12"/>
      <c r="AC228" s="12" t="str">
        <f>IF(OR(NOT(ISBLANK(AF228)), NOT(ISBLANK(AG228)), NOT(ISBLANK(AQ228)), NOT(ISBLANK(AN228))), "x", "")</f>
        <v>x</v>
      </c>
      <c r="AD228" s="12"/>
      <c r="AE228" s="12"/>
      <c r="AF228" s="12"/>
      <c r="AG228" s="12" t="s">
        <v>701</v>
      </c>
      <c r="AH228" s="12"/>
      <c r="AI228" s="12"/>
      <c r="AJ228" s="12"/>
      <c r="AK228" s="12"/>
      <c r="AL228" s="12"/>
      <c r="AM228" s="12" t="s">
        <v>701</v>
      </c>
      <c r="AN228" s="12"/>
      <c r="AO228" s="12" t="s">
        <v>701</v>
      </c>
      <c r="AP228" s="12" t="s">
        <v>701</v>
      </c>
      <c r="AQ228" s="12" t="s">
        <v>701</v>
      </c>
    </row>
    <row r="229" spans="1:43" ht="13.5">
      <c r="A229" s="11" t="s">
        <v>247</v>
      </c>
      <c r="B229" s="12" t="s">
        <v>598</v>
      </c>
      <c r="C229" s="12" t="s">
        <v>701</v>
      </c>
      <c r="D229" s="12" t="s">
        <v>701</v>
      </c>
      <c r="E229" s="12"/>
      <c r="F229" s="12" t="s">
        <v>701</v>
      </c>
      <c r="G229" s="12" t="s">
        <v>701</v>
      </c>
      <c r="H229" s="12" t="s">
        <v>701</v>
      </c>
      <c r="I229" s="12" t="s">
        <v>701</v>
      </c>
      <c r="J229" s="12"/>
      <c r="K229" s="12"/>
      <c r="L229" s="12"/>
      <c r="M229" s="12" t="s">
        <v>701</v>
      </c>
      <c r="N229" s="12"/>
      <c r="O229" s="12" t="s">
        <v>701</v>
      </c>
      <c r="P229" s="12"/>
      <c r="Q229" s="12"/>
      <c r="R229" s="12"/>
      <c r="S229" s="12"/>
      <c r="T229" s="12"/>
      <c r="U229" s="12"/>
      <c r="V229" s="12"/>
      <c r="W229" s="12" t="s">
        <v>701</v>
      </c>
      <c r="X229" s="12"/>
      <c r="Y229" s="12"/>
      <c r="Z229" s="12"/>
      <c r="AA229" s="12" t="s">
        <v>701</v>
      </c>
      <c r="AB229" s="12"/>
      <c r="AC229" s="12" t="str">
        <f>IF(OR(NOT(ISBLANK(AF229)), NOT(ISBLANK(AG229)), NOT(ISBLANK(AQ229)), NOT(ISBLANK(AN229))), "x", "")</f>
        <v>x</v>
      </c>
      <c r="AD229" s="12"/>
      <c r="AE229" s="12"/>
      <c r="AF229" s="12"/>
      <c r="AG229" s="12" t="s">
        <v>701</v>
      </c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 spans="1:43" ht="13.5">
      <c r="A230" s="11" t="s">
        <v>248</v>
      </c>
      <c r="B230" s="12" t="s">
        <v>588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 t="str" cm="1">
        <f t="array" ref="AC230">IF(OR(NOT(ISBLANK(AG23x)), NOT(ISBLANK(AH23x)), NOT(ISBLANK(AR23x)), NOT(ISBLANK(AO23x))), "x", "")</f>
        <v>x</v>
      </c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 spans="1:43" ht="13.5">
      <c r="A231" s="11" t="s">
        <v>249</v>
      </c>
      <c r="B231" s="12" t="s">
        <v>591</v>
      </c>
      <c r="C231" s="12" t="s">
        <v>701</v>
      </c>
      <c r="D231" s="12" t="s">
        <v>701</v>
      </c>
      <c r="E231" s="12"/>
      <c r="F231" s="12" t="s">
        <v>701</v>
      </c>
      <c r="G231" s="12" t="s">
        <v>701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 t="s">
        <v>701</v>
      </c>
      <c r="AB231" s="12"/>
      <c r="AC231" s="12" t="str">
        <f>IF(OR(NOT(ISBLANK(AF231)), NOT(ISBLANK(AG231)), NOT(ISBLANK(AQ231)), NOT(ISBLANK(AN231))), "x", "")</f>
        <v/>
      </c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 spans="1:43" ht="13.5">
      <c r="A232" s="11" t="s">
        <v>250</v>
      </c>
      <c r="B232" s="12" t="s">
        <v>596</v>
      </c>
      <c r="C232" s="12" t="s">
        <v>701</v>
      </c>
      <c r="D232" s="12" t="s">
        <v>701</v>
      </c>
      <c r="E232" s="12"/>
      <c r="F232" s="12"/>
      <c r="G232" s="12" t="s">
        <v>701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 t="s">
        <v>701</v>
      </c>
      <c r="T232" s="12"/>
      <c r="U232" s="12"/>
      <c r="V232" s="12" t="s">
        <v>701</v>
      </c>
      <c r="W232" s="12"/>
      <c r="X232" s="12"/>
      <c r="Y232" s="12"/>
      <c r="Z232" s="12"/>
      <c r="AA232" s="12"/>
      <c r="AB232" s="12"/>
      <c r="AC232" s="12" t="str">
        <f>IF(OR(NOT(ISBLANK(AF232)), NOT(ISBLANK(AG232)), NOT(ISBLANK(AQ232)), NOT(ISBLANK(AN232))), "x", "")</f>
        <v/>
      </c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 spans="1:43" ht="13.5">
      <c r="A233" s="11" t="s">
        <v>251</v>
      </c>
      <c r="B233" s="12" t="s">
        <v>598</v>
      </c>
      <c r="C233" s="12" t="s">
        <v>701</v>
      </c>
      <c r="D233" s="12" t="s">
        <v>701</v>
      </c>
      <c r="E233" s="12"/>
      <c r="F233" s="12"/>
      <c r="G233" s="12" t="s">
        <v>701</v>
      </c>
      <c r="H233" s="12" t="s">
        <v>701</v>
      </c>
      <c r="I233" s="12"/>
      <c r="J233" s="12"/>
      <c r="K233" s="12"/>
      <c r="L233" s="12"/>
      <c r="M233" s="12"/>
      <c r="N233" s="12"/>
      <c r="O233" s="12" t="s">
        <v>701</v>
      </c>
      <c r="P233" s="12"/>
      <c r="Q233" s="12"/>
      <c r="R233" s="12"/>
      <c r="S233" s="12"/>
      <c r="T233" s="12" t="s">
        <v>701</v>
      </c>
      <c r="U233" s="12" t="s">
        <v>701</v>
      </c>
      <c r="V233" s="12"/>
      <c r="W233" s="12"/>
      <c r="X233" s="12"/>
      <c r="Y233" s="12"/>
      <c r="Z233" s="12"/>
      <c r="AA233" s="12" t="s">
        <v>701</v>
      </c>
      <c r="AB233" s="12"/>
      <c r="AC233" s="12" t="str">
        <f>IF(OR(NOT(ISBLANK(AF233)), NOT(ISBLANK(AG233)), NOT(ISBLANK(AQ233)), NOT(ISBLANK(AN233))), "x", "")</f>
        <v>x</v>
      </c>
      <c r="AD233" s="12" t="s">
        <v>701</v>
      </c>
      <c r="AE233" s="12"/>
      <c r="AF233" s="12" t="s">
        <v>701</v>
      </c>
      <c r="AG233" s="12" t="s">
        <v>701</v>
      </c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 spans="1:43" ht="13.5">
      <c r="A234" s="11" t="s">
        <v>252</v>
      </c>
      <c r="B234" s="12" t="s">
        <v>597</v>
      </c>
      <c r="C234" s="12" t="s">
        <v>701</v>
      </c>
      <c r="D234" s="12" t="s">
        <v>701</v>
      </c>
      <c r="E234" s="12" t="s">
        <v>701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 t="s">
        <v>701</v>
      </c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 t="str">
        <f>IF(OR(NOT(ISBLANK(AF234)), NOT(ISBLANK(AG234)), NOT(ISBLANK(AQ234)), NOT(ISBLANK(AN234))), "x", "")</f>
        <v/>
      </c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 spans="1:43" ht="13.5">
      <c r="A235" s="11" t="s">
        <v>253</v>
      </c>
      <c r="B235" s="12" t="s">
        <v>588</v>
      </c>
      <c r="C235" s="12" t="s">
        <v>701</v>
      </c>
      <c r="D235" s="12" t="s">
        <v>701</v>
      </c>
      <c r="E235" s="12"/>
      <c r="F235" s="12" t="s">
        <v>701</v>
      </c>
      <c r="G235" s="12" t="s">
        <v>701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 t="s">
        <v>701</v>
      </c>
      <c r="W235" s="12"/>
      <c r="X235" s="12"/>
      <c r="Y235" s="12"/>
      <c r="Z235" s="12"/>
      <c r="AA235" s="12"/>
      <c r="AB235" s="12"/>
      <c r="AC235" s="12" t="str">
        <f>IF(OR(NOT(ISBLANK(AF235)), NOT(ISBLANK(AG235)), NOT(ISBLANK(AQ235)), NOT(ISBLANK(AN235))), "x", "")</f>
        <v/>
      </c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 spans="1:43" ht="13.5">
      <c r="A236" s="11" t="s">
        <v>254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 t="str">
        <f>IF(OR(NOT(ISBLANK(AF236)), NOT(ISBLANK(AG236)), NOT(ISBLANK(AQ236)), NOT(ISBLANK(AN236))), "x", "")</f>
        <v/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spans="1:43" ht="13.5">
      <c r="A237" s="11" t="s">
        <v>255</v>
      </c>
      <c r="B237" s="12" t="s">
        <v>587</v>
      </c>
      <c r="C237" s="12"/>
      <c r="D237" s="12" t="s">
        <v>701</v>
      </c>
      <c r="E237" s="12"/>
      <c r="F237" s="12" t="s">
        <v>701</v>
      </c>
      <c r="G237" s="12" t="s">
        <v>701</v>
      </c>
      <c r="H237" s="12" t="s">
        <v>701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 t="s">
        <v>701</v>
      </c>
      <c r="T237" s="12"/>
      <c r="U237" s="12"/>
      <c r="V237" s="12"/>
      <c r="W237" s="12" t="s">
        <v>701</v>
      </c>
      <c r="X237" s="12"/>
      <c r="Y237" s="12"/>
      <c r="Z237" s="12"/>
      <c r="AA237" s="12"/>
      <c r="AB237" s="12"/>
      <c r="AC237" s="12" t="str">
        <f>IF(OR(NOT(ISBLANK(AF237)), NOT(ISBLANK(AG237)), NOT(ISBLANK(AQ237)), NOT(ISBLANK(AN237))), "x", "")</f>
        <v/>
      </c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 spans="1:43" ht="13.5">
      <c r="A238" s="11" t="s">
        <v>256</v>
      </c>
      <c r="B238" s="12" t="s">
        <v>588</v>
      </c>
      <c r="C238" s="12" t="s">
        <v>701</v>
      </c>
      <c r="D238" s="12" t="s">
        <v>701</v>
      </c>
      <c r="E238" s="12"/>
      <c r="F238" s="12"/>
      <c r="G238" s="12" t="s">
        <v>701</v>
      </c>
      <c r="H238" s="12"/>
      <c r="I238" s="12" t="s">
        <v>701</v>
      </c>
      <c r="J238" s="12"/>
      <c r="K238" s="12"/>
      <c r="L238" s="12"/>
      <c r="M238" s="12"/>
      <c r="N238" s="12"/>
      <c r="O238" s="12" t="s">
        <v>701</v>
      </c>
      <c r="P238" s="12"/>
      <c r="Q238" s="12"/>
      <c r="R238" s="12"/>
      <c r="S238" s="12"/>
      <c r="T238" s="12"/>
      <c r="U238" s="12"/>
      <c r="V238" s="12" t="s">
        <v>701</v>
      </c>
      <c r="W238" s="12" t="s">
        <v>701</v>
      </c>
      <c r="X238" s="12" t="s">
        <v>701</v>
      </c>
      <c r="Y238" s="12" t="s">
        <v>701</v>
      </c>
      <c r="Z238" s="12" t="s">
        <v>701</v>
      </c>
      <c r="AA238" s="12" t="s">
        <v>701</v>
      </c>
      <c r="AB238" s="12" t="s">
        <v>701</v>
      </c>
      <c r="AC238" s="12" t="str">
        <f>IF(OR(NOT(ISBLANK(AF238)), NOT(ISBLANK(AG238)), NOT(ISBLANK(AQ238)), NOT(ISBLANK(AN238))), "x", "")</f>
        <v/>
      </c>
      <c r="AD238" s="12" t="s">
        <v>701</v>
      </c>
      <c r="AE238" s="12"/>
      <c r="AF238" s="12"/>
      <c r="AG238" s="12"/>
      <c r="AH238" s="12"/>
      <c r="AI238" s="12"/>
      <c r="AJ238" s="12"/>
      <c r="AK238" s="12"/>
      <c r="AL238" s="12"/>
      <c r="AM238" s="12" t="s">
        <v>701</v>
      </c>
      <c r="AN238" s="12"/>
      <c r="AO238" s="12"/>
      <c r="AP238" s="12"/>
      <c r="AQ238" s="12"/>
    </row>
    <row r="239" spans="1:43" ht="13.5">
      <c r="A239" s="11" t="s">
        <v>257</v>
      </c>
      <c r="B239" s="12" t="s">
        <v>596</v>
      </c>
      <c r="C239" s="12" t="s">
        <v>701</v>
      </c>
      <c r="D239" s="12" t="s">
        <v>701</v>
      </c>
      <c r="E239" s="12"/>
      <c r="F239" s="12" t="s">
        <v>701</v>
      </c>
      <c r="G239" s="12" t="s">
        <v>701</v>
      </c>
      <c r="H239" s="12"/>
      <c r="I239" s="12" t="s">
        <v>701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 t="s">
        <v>701</v>
      </c>
      <c r="T239" s="12"/>
      <c r="U239" s="12"/>
      <c r="V239" s="12" t="s">
        <v>701</v>
      </c>
      <c r="W239" s="12"/>
      <c r="X239" s="12"/>
      <c r="Y239" s="12"/>
      <c r="Z239" s="12"/>
      <c r="AA239" s="12"/>
      <c r="AB239" s="12"/>
      <c r="AC239" s="12" t="str">
        <f>IF(OR(NOT(ISBLANK(AF239)), NOT(ISBLANK(AG239)), NOT(ISBLANK(AQ239)), NOT(ISBLANK(AN239))), "x", "")</f>
        <v/>
      </c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 spans="1:43" ht="13.5">
      <c r="A240" s="11" t="s">
        <v>258</v>
      </c>
      <c r="B240" s="12" t="s">
        <v>593</v>
      </c>
      <c r="C240" s="12" t="s">
        <v>701</v>
      </c>
      <c r="D240" s="12" t="s">
        <v>701</v>
      </c>
      <c r="E240" s="12"/>
      <c r="F240" s="12" t="s">
        <v>701</v>
      </c>
      <c r="G240" s="12"/>
      <c r="H240" s="12" t="s">
        <v>701</v>
      </c>
      <c r="I240" s="12" t="s">
        <v>701</v>
      </c>
      <c r="J240" s="12" t="s">
        <v>701</v>
      </c>
      <c r="K240" s="12"/>
      <c r="L240" s="12"/>
      <c r="M240" s="12"/>
      <c r="N240" s="12"/>
      <c r="O240" s="12" t="s">
        <v>701</v>
      </c>
      <c r="P240" s="12"/>
      <c r="Q240" s="12" t="s">
        <v>701</v>
      </c>
      <c r="R240" s="12"/>
      <c r="S240" s="12" t="s">
        <v>701</v>
      </c>
      <c r="T240" s="12"/>
      <c r="U240" s="12"/>
      <c r="V240" s="12" t="s">
        <v>701</v>
      </c>
      <c r="W240" s="12"/>
      <c r="X240" s="12" t="s">
        <v>701</v>
      </c>
      <c r="Y240" s="12" t="s">
        <v>701</v>
      </c>
      <c r="Z240" s="12" t="s">
        <v>701</v>
      </c>
      <c r="AA240" s="12" t="s">
        <v>701</v>
      </c>
      <c r="AB240" s="12"/>
      <c r="AC240" s="12" t="str" cm="1">
        <f t="array" ref="AC240">IF(OR(NOT(ISBLANK(AG24x)), NOT(ISBLANK(AH24x)), NOT(ISBLANK(AR24x)), NOT(ISBLANK(AO24x))), "x", "")</f>
        <v>x</v>
      </c>
      <c r="AD240" s="12" t="s">
        <v>701</v>
      </c>
      <c r="AE240" s="12" t="s">
        <v>701</v>
      </c>
      <c r="AF240" s="12" t="s">
        <v>701</v>
      </c>
      <c r="AG240" s="12" t="s">
        <v>701</v>
      </c>
      <c r="AH240" s="12" t="s">
        <v>701</v>
      </c>
      <c r="AI240" s="12"/>
      <c r="AJ240" s="12"/>
      <c r="AK240" s="12"/>
      <c r="AL240" s="12"/>
      <c r="AM240" s="12" t="s">
        <v>701</v>
      </c>
      <c r="AN240" s="12"/>
      <c r="AO240" s="12" t="s">
        <v>701</v>
      </c>
      <c r="AP240" s="12" t="s">
        <v>701</v>
      </c>
      <c r="AQ240" s="12" t="s">
        <v>701</v>
      </c>
    </row>
    <row r="241" spans="1:43" ht="13.5">
      <c r="A241" s="11" t="s">
        <v>259</v>
      </c>
      <c r="B241" s="12" t="s">
        <v>593</v>
      </c>
      <c r="C241" s="12" t="s">
        <v>701</v>
      </c>
      <c r="D241" s="12" t="s">
        <v>701</v>
      </c>
      <c r="E241" s="12"/>
      <c r="F241" s="12" t="s">
        <v>701</v>
      </c>
      <c r="G241" s="12" t="s">
        <v>701</v>
      </c>
      <c r="H241" s="12" t="s">
        <v>701</v>
      </c>
      <c r="I241" s="12"/>
      <c r="J241" s="12" t="s">
        <v>701</v>
      </c>
      <c r="K241" s="12"/>
      <c r="L241" s="12"/>
      <c r="M241" s="12" t="s">
        <v>701</v>
      </c>
      <c r="N241" s="12"/>
      <c r="O241" s="12" t="s">
        <v>701</v>
      </c>
      <c r="P241" s="12"/>
      <c r="Q241" s="12" t="s">
        <v>701</v>
      </c>
      <c r="R241" s="12"/>
      <c r="S241" s="12" t="s">
        <v>701</v>
      </c>
      <c r="T241" s="12"/>
      <c r="U241" s="12" t="s">
        <v>701</v>
      </c>
      <c r="V241" s="12" t="s">
        <v>701</v>
      </c>
      <c r="W241" s="12"/>
      <c r="X241" s="12"/>
      <c r="Y241" s="12" t="s">
        <v>701</v>
      </c>
      <c r="Z241" s="12" t="s">
        <v>701</v>
      </c>
      <c r="AA241" s="12" t="s">
        <v>701</v>
      </c>
      <c r="AB241" s="12"/>
      <c r="AC241" s="12" t="str">
        <f>IF(OR(NOT(ISBLANK(AF241)), NOT(ISBLANK(AG241)), NOT(ISBLANK(AQ241)), NOT(ISBLANK(AN241))), "x", "")</f>
        <v>x</v>
      </c>
      <c r="AD241" s="12" t="s">
        <v>701</v>
      </c>
      <c r="AE241" s="12" t="s">
        <v>701</v>
      </c>
      <c r="AF241" s="12" t="s">
        <v>701</v>
      </c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spans="1:43" ht="13.5">
      <c r="A242" s="11" t="s">
        <v>260</v>
      </c>
      <c r="B242" s="12" t="s">
        <v>607</v>
      </c>
      <c r="C242" s="12" t="s">
        <v>701</v>
      </c>
      <c r="D242" s="12" t="s">
        <v>701</v>
      </c>
      <c r="E242" s="12"/>
      <c r="F242" s="12" t="s">
        <v>701</v>
      </c>
      <c r="G242" s="12" t="s">
        <v>701</v>
      </c>
      <c r="H242" s="12" t="s">
        <v>701</v>
      </c>
      <c r="I242" s="12" t="s">
        <v>701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 t="str">
        <f>IF(OR(NOT(ISBLANK(AF242)), NOT(ISBLANK(AG242)), NOT(ISBLANK(AQ242)), NOT(ISBLANK(AN242))), "x", "")</f>
        <v>x</v>
      </c>
      <c r="AD242" s="12"/>
      <c r="AE242" s="12"/>
      <c r="AF242" s="12"/>
      <c r="AG242" s="12" t="s">
        <v>701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 spans="1:43" ht="13.5">
      <c r="A243" s="11" t="s">
        <v>261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 t="str">
        <f>IF(OR(NOT(ISBLANK(AF243)), NOT(ISBLANK(AG243)), NOT(ISBLANK(AQ243)), NOT(ISBLANK(AN243))), "x", "")</f>
        <v/>
      </c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 spans="1:43" ht="13.5">
      <c r="A244" s="11" t="s">
        <v>262</v>
      </c>
      <c r="B244" s="12" t="s">
        <v>587</v>
      </c>
      <c r="C244" s="12"/>
      <c r="D244" s="12" t="s">
        <v>701</v>
      </c>
      <c r="E244" s="12"/>
      <c r="F244" s="12" t="s">
        <v>701</v>
      </c>
      <c r="G244" s="12" t="s">
        <v>701</v>
      </c>
      <c r="H244" s="12" t="s">
        <v>701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 t="s">
        <v>701</v>
      </c>
      <c r="T244" s="12"/>
      <c r="U244" s="12"/>
      <c r="V244" s="12"/>
      <c r="W244" s="12" t="s">
        <v>701</v>
      </c>
      <c r="X244" s="12"/>
      <c r="Y244" s="12"/>
      <c r="Z244" s="12"/>
      <c r="AA244" s="12"/>
      <c r="AB244" s="12"/>
      <c r="AC244" s="12" t="str">
        <f>IF(OR(NOT(ISBLANK(AF244)), NOT(ISBLANK(AG244)), NOT(ISBLANK(AQ244)), NOT(ISBLANK(AN244))), "x", "")</f>
        <v/>
      </c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 spans="1:43" ht="13.5">
      <c r="A245" s="11" t="s">
        <v>263</v>
      </c>
      <c r="B245" s="12" t="s">
        <v>588</v>
      </c>
      <c r="C245" s="12" t="s">
        <v>701</v>
      </c>
      <c r="D245" s="12" t="s">
        <v>701</v>
      </c>
      <c r="E245" s="12"/>
      <c r="F245" s="12"/>
      <c r="G245" s="12" t="s">
        <v>701</v>
      </c>
      <c r="H245" s="12" t="s">
        <v>701</v>
      </c>
      <c r="I245" s="12" t="s">
        <v>701</v>
      </c>
      <c r="J245" s="12"/>
      <c r="K245" s="12"/>
      <c r="L245" s="12"/>
      <c r="M245" s="12"/>
      <c r="N245" s="12"/>
      <c r="O245" s="12" t="s">
        <v>701</v>
      </c>
      <c r="P245" s="12"/>
      <c r="Q245" s="12"/>
      <c r="R245" s="12"/>
      <c r="S245" s="12" t="s">
        <v>701</v>
      </c>
      <c r="T245" s="12"/>
      <c r="U245" s="12"/>
      <c r="V245" s="12" t="s">
        <v>701</v>
      </c>
      <c r="W245" s="12" t="s">
        <v>701</v>
      </c>
      <c r="X245" s="12" t="s">
        <v>701</v>
      </c>
      <c r="Y245" s="12" t="s">
        <v>701</v>
      </c>
      <c r="Z245" s="12" t="s">
        <v>701</v>
      </c>
      <c r="AA245" s="12"/>
      <c r="AB245" s="12"/>
      <c r="AC245" s="12" t="str">
        <f>IF(OR(NOT(ISBLANK(AF245)), NOT(ISBLANK(AG245)), NOT(ISBLANK(AQ245)), NOT(ISBLANK(AN245))), "x", "")</f>
        <v/>
      </c>
      <c r="AD245" s="12" t="s">
        <v>701</v>
      </c>
      <c r="AE245" s="12"/>
      <c r="AF245" s="12"/>
      <c r="AG245" s="12"/>
      <c r="AH245" s="12" t="s">
        <v>701</v>
      </c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 spans="1:43" ht="13.5">
      <c r="A246" s="11" t="s">
        <v>264</v>
      </c>
      <c r="B246" s="12" t="s">
        <v>593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 t="str">
        <f>IF(OR(NOT(ISBLANK(AF246)), NOT(ISBLANK(AG246)), NOT(ISBLANK(AQ246)), NOT(ISBLANK(AN246))), "x", "")</f>
        <v/>
      </c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 spans="1:43" ht="13.5">
      <c r="A247" s="11" t="s">
        <v>265</v>
      </c>
      <c r="B247" s="12" t="s">
        <v>591</v>
      </c>
      <c r="C247" s="12" t="s">
        <v>701</v>
      </c>
      <c r="D247" s="12" t="s">
        <v>701</v>
      </c>
      <c r="E247" s="12"/>
      <c r="F247" s="12"/>
      <c r="G247" s="12" t="s">
        <v>701</v>
      </c>
      <c r="H247" s="12" t="s">
        <v>701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 t="s">
        <v>701</v>
      </c>
      <c r="W247" s="12"/>
      <c r="X247" s="12"/>
      <c r="Y247" s="12"/>
      <c r="Z247" s="12"/>
      <c r="AA247" s="12" t="s">
        <v>701</v>
      </c>
      <c r="AB247" s="12"/>
      <c r="AC247" s="12" t="str">
        <f>IF(OR(NOT(ISBLANK(AF247)), NOT(ISBLANK(AG247)), NOT(ISBLANK(AQ247)), NOT(ISBLANK(AN247))), "x", "")</f>
        <v>x</v>
      </c>
      <c r="AD247" s="12" t="s">
        <v>701</v>
      </c>
      <c r="AE247" s="12"/>
      <c r="AF247" s="12" t="s">
        <v>701</v>
      </c>
      <c r="AG247" s="12"/>
      <c r="AH247" s="12" t="s">
        <v>701</v>
      </c>
      <c r="AI247" s="12"/>
      <c r="AJ247" s="12"/>
      <c r="AK247" s="12"/>
      <c r="AL247" s="12"/>
      <c r="AM247" s="12" t="s">
        <v>701</v>
      </c>
      <c r="AN247" s="12"/>
      <c r="AO247" s="12" t="s">
        <v>701</v>
      </c>
      <c r="AP247" s="12" t="s">
        <v>701</v>
      </c>
      <c r="AQ247" s="12" t="s">
        <v>701</v>
      </c>
    </row>
    <row r="248" spans="1:43" ht="13.5">
      <c r="A248" s="11" t="s">
        <v>266</v>
      </c>
      <c r="B248" s="12" t="s">
        <v>591</v>
      </c>
      <c r="C248" s="12" t="s">
        <v>701</v>
      </c>
      <c r="D248" s="12" t="s">
        <v>701</v>
      </c>
      <c r="E248" s="12"/>
      <c r="F248" s="12"/>
      <c r="G248" s="12" t="s">
        <v>701</v>
      </c>
      <c r="H248" s="12" t="s">
        <v>701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 t="s">
        <v>701</v>
      </c>
      <c r="AB248" s="12"/>
      <c r="AC248" s="12" t="str">
        <f>IF(OR(NOT(ISBLANK(AF248)), NOT(ISBLANK(AG248)), NOT(ISBLANK(AQ248)), NOT(ISBLANK(AN248))), "x", "")</f>
        <v/>
      </c>
      <c r="AD248" s="12" t="s">
        <v>701</v>
      </c>
      <c r="AE248" s="12"/>
      <c r="AF248" s="12"/>
      <c r="AG248" s="12"/>
      <c r="AH248" s="12" t="s">
        <v>701</v>
      </c>
      <c r="AI248" s="12"/>
      <c r="AJ248" s="12"/>
      <c r="AK248" s="12"/>
      <c r="AL248" s="12"/>
      <c r="AM248" s="12" t="s">
        <v>701</v>
      </c>
      <c r="AN248" s="12"/>
      <c r="AO248" s="12" t="s">
        <v>701</v>
      </c>
      <c r="AP248" s="12"/>
      <c r="AQ248" s="12"/>
    </row>
    <row r="249" spans="1:43" ht="13.5">
      <c r="A249" s="11" t="s">
        <v>267</v>
      </c>
      <c r="B249" s="12" t="s">
        <v>591</v>
      </c>
      <c r="C249" s="12" t="s">
        <v>701</v>
      </c>
      <c r="D249" s="12" t="s">
        <v>701</v>
      </c>
      <c r="E249" s="12"/>
      <c r="F249" s="12"/>
      <c r="G249" s="12" t="s">
        <v>701</v>
      </c>
      <c r="H249" s="12" t="s">
        <v>701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 t="s">
        <v>701</v>
      </c>
      <c r="AB249" s="12"/>
      <c r="AC249" s="12" t="str">
        <f>IF(OR(NOT(ISBLANK(AF249)), NOT(ISBLANK(AG249)), NOT(ISBLANK(AQ249)), NOT(ISBLANK(AN249))), "x", "")</f>
        <v>x</v>
      </c>
      <c r="AD249" s="12" t="s">
        <v>701</v>
      </c>
      <c r="AE249" s="12"/>
      <c r="AF249" s="12" t="s">
        <v>701</v>
      </c>
      <c r="AG249" s="12"/>
      <c r="AH249" s="12" t="s">
        <v>701</v>
      </c>
      <c r="AI249" s="12"/>
      <c r="AJ249" s="12"/>
      <c r="AK249" s="12"/>
      <c r="AL249" s="12"/>
      <c r="AM249" s="12" t="s">
        <v>701</v>
      </c>
      <c r="AN249" s="12"/>
      <c r="AO249" s="12" t="s">
        <v>701</v>
      </c>
      <c r="AP249" s="12" t="s">
        <v>701</v>
      </c>
      <c r="AQ249" s="12"/>
    </row>
    <row r="250" spans="1:43" ht="13.5">
      <c r="A250" s="11" t="s">
        <v>268</v>
      </c>
      <c r="B250" s="12" t="s">
        <v>608</v>
      </c>
      <c r="C250" s="12" t="s">
        <v>701</v>
      </c>
      <c r="D250" s="12" t="s">
        <v>701</v>
      </c>
      <c r="E250" s="12"/>
      <c r="F250" s="12" t="s">
        <v>701</v>
      </c>
      <c r="G250" s="12" t="s">
        <v>701</v>
      </c>
      <c r="H250" s="12"/>
      <c r="I250" s="12"/>
      <c r="J250" s="12"/>
      <c r="K250" s="12"/>
      <c r="L250" s="12"/>
      <c r="M250" s="12"/>
      <c r="N250" s="12"/>
      <c r="O250" s="12" t="s">
        <v>701</v>
      </c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 t="s">
        <v>701</v>
      </c>
      <c r="AB250" s="12"/>
      <c r="AC250" s="12" t="str" cm="1">
        <f t="array" ref="AC250">IF(OR(NOT(ISBLANK(AG25x)), NOT(ISBLANK(AH25x)), NOT(ISBLANK(AR25x)), NOT(ISBLANK(AO25x))), "x", "")</f>
        <v>x</v>
      </c>
      <c r="AD250" s="12" t="s">
        <v>701</v>
      </c>
      <c r="AE250" s="12"/>
      <c r="AF250" s="12" t="s">
        <v>701</v>
      </c>
      <c r="AG250" s="12" t="s">
        <v>701</v>
      </c>
      <c r="AH250" s="12"/>
      <c r="AI250" s="12"/>
      <c r="AJ250" s="12"/>
      <c r="AK250" s="12"/>
      <c r="AL250" s="12"/>
      <c r="AM250" s="12" t="s">
        <v>701</v>
      </c>
      <c r="AN250" s="12"/>
      <c r="AO250" s="12" t="s">
        <v>701</v>
      </c>
      <c r="AP250" s="12" t="s">
        <v>701</v>
      </c>
      <c r="AQ250" s="12" t="s">
        <v>701</v>
      </c>
    </row>
    <row r="251" spans="1:43" ht="13.5">
      <c r="A251" s="11" t="s">
        <v>269</v>
      </c>
      <c r="B251" s="12" t="s">
        <v>587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 t="str">
        <f>IF(OR(NOT(ISBLANK(AF251)), NOT(ISBLANK(AG251)), NOT(ISBLANK(AQ251)), NOT(ISBLANK(AN251))), "x", "")</f>
        <v/>
      </c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 spans="1:43" ht="13.5">
      <c r="A252" s="11" t="s">
        <v>270</v>
      </c>
      <c r="B252" s="12" t="s">
        <v>597</v>
      </c>
      <c r="C252" s="12" t="s">
        <v>701</v>
      </c>
      <c r="D252" s="12" t="s">
        <v>701</v>
      </c>
      <c r="E252" s="12"/>
      <c r="F252" s="12" t="s">
        <v>701</v>
      </c>
      <c r="G252" s="12" t="s">
        <v>701</v>
      </c>
      <c r="H252" s="12"/>
      <c r="I252" s="12"/>
      <c r="J252" s="12"/>
      <c r="K252" s="12"/>
      <c r="L252" s="12"/>
      <c r="M252" s="12" t="s">
        <v>701</v>
      </c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 t="str">
        <f>IF(OR(NOT(ISBLANK(AF252)), NOT(ISBLANK(AG252)), NOT(ISBLANK(AQ252)), NOT(ISBLANK(AN252))), "x", "")</f>
        <v>x</v>
      </c>
      <c r="AD252" s="12"/>
      <c r="AE252" s="12"/>
      <c r="AF252" s="12" t="s">
        <v>701</v>
      </c>
      <c r="AG252" s="12"/>
      <c r="AH252" s="12" t="s">
        <v>701</v>
      </c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 spans="1:43" ht="13.5">
      <c r="A253" s="11" t="s">
        <v>271</v>
      </c>
      <c r="B253" s="12" t="s">
        <v>587</v>
      </c>
      <c r="C253" s="12" t="s">
        <v>701</v>
      </c>
      <c r="D253" s="12" t="s">
        <v>701</v>
      </c>
      <c r="E253" s="12"/>
      <c r="F253" s="12" t="s">
        <v>701</v>
      </c>
      <c r="G253" s="12" t="s">
        <v>701</v>
      </c>
      <c r="H253" s="12"/>
      <c r="I253" s="12"/>
      <c r="J253" s="12"/>
      <c r="K253" s="12"/>
      <c r="L253" s="12"/>
      <c r="M253" s="12"/>
      <c r="N253" s="12"/>
      <c r="O253" s="12" t="s">
        <v>701</v>
      </c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 t="str">
        <f>IF(OR(NOT(ISBLANK(AF253)), NOT(ISBLANK(AG253)), NOT(ISBLANK(AQ253)), NOT(ISBLANK(AN253))), "x", "")</f>
        <v/>
      </c>
      <c r="AD253" s="12" t="s">
        <v>701</v>
      </c>
      <c r="AE253" s="12" t="s">
        <v>701</v>
      </c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 spans="1:43" ht="13.5">
      <c r="A254" s="11" t="s">
        <v>272</v>
      </c>
      <c r="B254" s="12" t="s">
        <v>587</v>
      </c>
      <c r="C254" s="12" t="s">
        <v>701</v>
      </c>
      <c r="D254" s="12" t="s">
        <v>701</v>
      </c>
      <c r="E254" s="12"/>
      <c r="F254" s="12" t="s">
        <v>701</v>
      </c>
      <c r="G254" s="12" t="s">
        <v>701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 t="s">
        <v>701</v>
      </c>
      <c r="AB254" s="12"/>
      <c r="AC254" s="12" t="str">
        <f>IF(OR(NOT(ISBLANK(AF254)), NOT(ISBLANK(AG254)), NOT(ISBLANK(AQ254)), NOT(ISBLANK(AN254))), "x", "")</f>
        <v>x</v>
      </c>
      <c r="AD254" s="12" t="s">
        <v>701</v>
      </c>
      <c r="AE254" s="12"/>
      <c r="AF254" s="12" t="s">
        <v>701</v>
      </c>
      <c r="AG254" s="12"/>
      <c r="AH254" s="12"/>
      <c r="AI254" s="12"/>
      <c r="AJ254" s="12"/>
      <c r="AK254" s="12"/>
      <c r="AL254" s="12"/>
      <c r="AM254" s="12" t="s">
        <v>701</v>
      </c>
      <c r="AN254" s="12"/>
      <c r="AO254" s="12" t="s">
        <v>701</v>
      </c>
      <c r="AP254" s="12" t="s">
        <v>701</v>
      </c>
      <c r="AQ254" s="12"/>
    </row>
    <row r="255" spans="1:43" ht="13.5">
      <c r="A255" s="11" t="s">
        <v>273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 t="str">
        <f>IF(OR(NOT(ISBLANK(AF255)), NOT(ISBLANK(AG255)), NOT(ISBLANK(AQ255)), NOT(ISBLANK(AN255))), "x", "")</f>
        <v/>
      </c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 spans="1:43" ht="13.5">
      <c r="A256" s="11" t="s">
        <v>274</v>
      </c>
      <c r="B256" s="12" t="s">
        <v>587</v>
      </c>
      <c r="C256" s="12"/>
      <c r="D256" s="12" t="s">
        <v>701</v>
      </c>
      <c r="E256" s="12"/>
      <c r="F256" s="12" t="s">
        <v>701</v>
      </c>
      <c r="G256" s="12" t="s">
        <v>701</v>
      </c>
      <c r="H256" s="12" t="s">
        <v>701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 t="s">
        <v>701</v>
      </c>
      <c r="T256" s="12"/>
      <c r="U256" s="12"/>
      <c r="V256" s="12"/>
      <c r="W256" s="12" t="s">
        <v>701</v>
      </c>
      <c r="X256" s="12"/>
      <c r="Y256" s="12"/>
      <c r="Z256" s="12"/>
      <c r="AA256" s="12"/>
      <c r="AB256" s="12"/>
      <c r="AC256" s="12" t="str">
        <f>IF(OR(NOT(ISBLANK(AF256)), NOT(ISBLANK(AG256)), NOT(ISBLANK(AQ256)), NOT(ISBLANK(AN256))), "x", "")</f>
        <v/>
      </c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 spans="1:43" ht="13.5">
      <c r="A257" s="11" t="s">
        <v>275</v>
      </c>
      <c r="B257" s="12" t="s">
        <v>588</v>
      </c>
      <c r="C257" s="12" t="s">
        <v>701</v>
      </c>
      <c r="D257" s="12" t="s">
        <v>701</v>
      </c>
      <c r="E257" s="12"/>
      <c r="F257" s="12"/>
      <c r="G257" s="12" t="s">
        <v>701</v>
      </c>
      <c r="H257" s="12"/>
      <c r="I257" s="12" t="s">
        <v>701</v>
      </c>
      <c r="J257" s="12"/>
      <c r="K257" s="12"/>
      <c r="L257" s="12"/>
      <c r="M257" s="12"/>
      <c r="N257" s="12"/>
      <c r="O257" s="12" t="s">
        <v>701</v>
      </c>
      <c r="P257" s="12"/>
      <c r="Q257" s="12"/>
      <c r="R257" s="12"/>
      <c r="S257" s="12"/>
      <c r="T257" s="12"/>
      <c r="U257" s="12"/>
      <c r="V257" s="12" t="s">
        <v>701</v>
      </c>
      <c r="W257" s="12" t="s">
        <v>701</v>
      </c>
      <c r="X257" s="12" t="s">
        <v>701</v>
      </c>
      <c r="Y257" s="12" t="s">
        <v>701</v>
      </c>
      <c r="Z257" s="12" t="s">
        <v>701</v>
      </c>
      <c r="AA257" s="12" t="s">
        <v>701</v>
      </c>
      <c r="AB257" s="12" t="s">
        <v>701</v>
      </c>
      <c r="AC257" s="12" t="str">
        <f>IF(OR(NOT(ISBLANK(AF257)), NOT(ISBLANK(AG257)), NOT(ISBLANK(AQ257)), NOT(ISBLANK(AN257))), "x", "")</f>
        <v/>
      </c>
      <c r="AD257" s="12" t="s">
        <v>701</v>
      </c>
      <c r="AE257" s="12"/>
      <c r="AF257" s="12"/>
      <c r="AG257" s="12"/>
      <c r="AH257" s="12"/>
      <c r="AI257" s="12"/>
      <c r="AJ257" s="12"/>
      <c r="AK257" s="12"/>
      <c r="AL257" s="12"/>
      <c r="AM257" s="12" t="s">
        <v>701</v>
      </c>
      <c r="AN257" s="12"/>
      <c r="AO257" s="12"/>
      <c r="AP257" s="12"/>
      <c r="AQ257" s="12"/>
    </row>
    <row r="258" spans="1:43" ht="13.5">
      <c r="A258" s="11" t="s">
        <v>276</v>
      </c>
      <c r="B258" s="12" t="s">
        <v>587</v>
      </c>
      <c r="C258" s="12"/>
      <c r="D258" s="12" t="s">
        <v>701</v>
      </c>
      <c r="E258" s="12"/>
      <c r="F258" s="12" t="s">
        <v>701</v>
      </c>
      <c r="G258" s="12" t="s">
        <v>701</v>
      </c>
      <c r="H258" s="12" t="s">
        <v>701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 t="s">
        <v>701</v>
      </c>
      <c r="T258" s="12"/>
      <c r="U258" s="12"/>
      <c r="V258" s="12"/>
      <c r="W258" s="12" t="s">
        <v>701</v>
      </c>
      <c r="X258" s="12"/>
      <c r="Y258" s="12"/>
      <c r="Z258" s="12"/>
      <c r="AA258" s="12"/>
      <c r="AB258" s="12"/>
      <c r="AC258" s="12" t="str">
        <f>IF(OR(NOT(ISBLANK(AF258)), NOT(ISBLANK(AG258)), NOT(ISBLANK(AQ258)), NOT(ISBLANK(AN258))), "x", "")</f>
        <v/>
      </c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 spans="1:43" ht="13.5">
      <c r="A259" s="11" t="s">
        <v>277</v>
      </c>
      <c r="B259" s="12" t="s">
        <v>592</v>
      </c>
      <c r="C259" s="12"/>
      <c r="D259" s="12" t="s">
        <v>701</v>
      </c>
      <c r="E259" s="12"/>
      <c r="F259" s="12" t="s">
        <v>701</v>
      </c>
      <c r="G259" s="12"/>
      <c r="H259" s="12" t="s">
        <v>701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 t="str">
        <f>IF(OR(NOT(ISBLANK(AF259)), NOT(ISBLANK(AG259)), NOT(ISBLANK(AQ259)), NOT(ISBLANK(AN259))), "x", "")</f>
        <v/>
      </c>
      <c r="AD259" s="12" t="s">
        <v>701</v>
      </c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 spans="1:43" ht="13.5">
      <c r="A260" s="11" t="s">
        <v>278</v>
      </c>
      <c r="B260" s="12" t="s">
        <v>592</v>
      </c>
      <c r="C260" s="12"/>
      <c r="D260" s="12" t="s">
        <v>701</v>
      </c>
      <c r="E260" s="12"/>
      <c r="F260" s="12" t="s">
        <v>701</v>
      </c>
      <c r="G260" s="12"/>
      <c r="H260" s="12" t="s">
        <v>701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 t="str" cm="1">
        <f t="array" ref="AC260">IF(OR(NOT(ISBLANK(AG26x)), NOT(ISBLANK(AH26x)), NOT(ISBLANK(AR26x)), NOT(ISBLANK(AO26x))), "x", "")</f>
        <v>x</v>
      </c>
      <c r="AD260" s="12" t="s">
        <v>701</v>
      </c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 spans="1:43" ht="13.5">
      <c r="A261" s="11" t="s">
        <v>279</v>
      </c>
      <c r="B261" s="12" t="s">
        <v>588</v>
      </c>
      <c r="C261" s="12" t="s">
        <v>701</v>
      </c>
      <c r="D261" s="12" t="s">
        <v>701</v>
      </c>
      <c r="E261" s="12"/>
      <c r="F261" s="12"/>
      <c r="G261" s="12" t="s">
        <v>701</v>
      </c>
      <c r="H261" s="12" t="s">
        <v>701</v>
      </c>
      <c r="I261" s="12" t="s">
        <v>701</v>
      </c>
      <c r="J261" s="12"/>
      <c r="K261" s="12"/>
      <c r="L261" s="12"/>
      <c r="M261" s="12"/>
      <c r="N261" s="12"/>
      <c r="O261" s="12" t="s">
        <v>701</v>
      </c>
      <c r="P261" s="12"/>
      <c r="Q261" s="12"/>
      <c r="R261" s="12"/>
      <c r="S261" s="12" t="s">
        <v>701</v>
      </c>
      <c r="T261" s="12"/>
      <c r="U261" s="12"/>
      <c r="V261" s="12" t="s">
        <v>701</v>
      </c>
      <c r="W261" s="12" t="s">
        <v>701</v>
      </c>
      <c r="X261" s="12" t="s">
        <v>701</v>
      </c>
      <c r="Y261" s="12" t="s">
        <v>701</v>
      </c>
      <c r="Z261" s="12" t="s">
        <v>701</v>
      </c>
      <c r="AA261" s="12"/>
      <c r="AB261" s="12"/>
      <c r="AC261" s="12" t="str">
        <f>IF(OR(NOT(ISBLANK(AF261)), NOT(ISBLANK(AG261)), NOT(ISBLANK(AQ261)), NOT(ISBLANK(AN261))), "x", "")</f>
        <v/>
      </c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spans="1:43" ht="13.5">
      <c r="A262" s="11" t="s">
        <v>280</v>
      </c>
      <c r="B262" s="12" t="s">
        <v>592</v>
      </c>
      <c r="C262" s="12" t="s">
        <v>701</v>
      </c>
      <c r="D262" s="12" t="s">
        <v>701</v>
      </c>
      <c r="E262" s="12"/>
      <c r="F262" s="12"/>
      <c r="G262" s="12" t="s">
        <v>701</v>
      </c>
      <c r="H262" s="12" t="s">
        <v>701</v>
      </c>
      <c r="I262" s="12" t="s">
        <v>701</v>
      </c>
      <c r="J262" s="12"/>
      <c r="K262" s="12"/>
      <c r="L262" s="12"/>
      <c r="M262" s="12"/>
      <c r="N262" s="12"/>
      <c r="O262" s="12" t="s">
        <v>701</v>
      </c>
      <c r="P262" s="12"/>
      <c r="Q262" s="12"/>
      <c r="R262" s="12"/>
      <c r="S262" s="12"/>
      <c r="T262" s="12"/>
      <c r="U262" s="12"/>
      <c r="V262" s="12" t="s">
        <v>701</v>
      </c>
      <c r="W262" s="12" t="s">
        <v>701</v>
      </c>
      <c r="X262" s="12" t="s">
        <v>701</v>
      </c>
      <c r="Y262" s="12" t="s">
        <v>701</v>
      </c>
      <c r="Z262" s="12" t="s">
        <v>701</v>
      </c>
      <c r="AA262" s="12" t="s">
        <v>701</v>
      </c>
      <c r="AB262" s="12" t="s">
        <v>701</v>
      </c>
      <c r="AC262" s="12" t="str">
        <f>IF(OR(NOT(ISBLANK(AF262)), NOT(ISBLANK(AG262)), NOT(ISBLANK(AQ262)), NOT(ISBLANK(AN262))), "x", "")</f>
        <v/>
      </c>
      <c r="AD262" s="12" t="s">
        <v>701</v>
      </c>
      <c r="AE262" s="12"/>
      <c r="AF262" s="12"/>
      <c r="AG262" s="12"/>
      <c r="AH262" s="12"/>
      <c r="AI262" s="12"/>
      <c r="AJ262" s="12"/>
      <c r="AK262" s="12"/>
      <c r="AL262" s="12"/>
      <c r="AM262" s="12" t="s">
        <v>701</v>
      </c>
      <c r="AN262" s="12"/>
      <c r="AO262" s="12"/>
      <c r="AP262" s="12"/>
      <c r="AQ262" s="12"/>
    </row>
    <row r="263" spans="1:43" ht="13.5">
      <c r="A263" s="11" t="s">
        <v>281</v>
      </c>
      <c r="B263" s="12" t="s">
        <v>589</v>
      </c>
      <c r="C263" s="12" t="s">
        <v>701</v>
      </c>
      <c r="D263" s="12" t="s">
        <v>701</v>
      </c>
      <c r="E263" s="12"/>
      <c r="F263" s="12"/>
      <c r="G263" s="12" t="s">
        <v>701</v>
      </c>
      <c r="H263" s="12" t="s">
        <v>701</v>
      </c>
      <c r="I263" s="12" t="s">
        <v>701</v>
      </c>
      <c r="J263" s="12"/>
      <c r="K263" s="12"/>
      <c r="L263" s="12"/>
      <c r="M263" s="12"/>
      <c r="N263" s="12"/>
      <c r="O263" s="12" t="s">
        <v>701</v>
      </c>
      <c r="P263" s="12"/>
      <c r="Q263" s="12" t="s">
        <v>701</v>
      </c>
      <c r="R263" s="12"/>
      <c r="S263" s="12" t="s">
        <v>701</v>
      </c>
      <c r="T263" s="12"/>
      <c r="U263" s="12"/>
      <c r="V263" s="12" t="s">
        <v>701</v>
      </c>
      <c r="W263" s="12" t="s">
        <v>701</v>
      </c>
      <c r="X263" s="12" t="s">
        <v>701</v>
      </c>
      <c r="Y263" s="12" t="s">
        <v>701</v>
      </c>
      <c r="Z263" s="12" t="s">
        <v>701</v>
      </c>
      <c r="AA263" s="12"/>
      <c r="AB263" s="12"/>
      <c r="AC263" s="12" t="str">
        <f>IF(OR(NOT(ISBLANK(AF263)), NOT(ISBLANK(AG263)), NOT(ISBLANK(AQ263)), NOT(ISBLANK(AN263))), "x", "")</f>
        <v/>
      </c>
      <c r="AD263" s="12" t="s">
        <v>701</v>
      </c>
      <c r="AE263" s="12"/>
      <c r="AF263" s="12"/>
      <c r="AG263" s="12"/>
      <c r="AH263" s="12" t="s">
        <v>701</v>
      </c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 spans="1:43" ht="13.5">
      <c r="A264" s="11" t="s">
        <v>282</v>
      </c>
      <c r="B264" s="12" t="s">
        <v>598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 t="str">
        <f>IF(OR(NOT(ISBLANK(AF264)), NOT(ISBLANK(AG264)), NOT(ISBLANK(AQ264)), NOT(ISBLANK(AN264))), "x", "")</f>
        <v/>
      </c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 spans="1:43" ht="13.5">
      <c r="A265" s="11" t="s">
        <v>283</v>
      </c>
      <c r="B265" s="12" t="s">
        <v>598</v>
      </c>
      <c r="C265" s="12"/>
      <c r="D265" s="12"/>
      <c r="E265" s="12"/>
      <c r="F265" s="12"/>
      <c r="G265" s="12" t="s">
        <v>701</v>
      </c>
      <c r="H265" s="12" t="s">
        <v>701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 t="s">
        <v>701</v>
      </c>
      <c r="AA265" s="12" t="s">
        <v>701</v>
      </c>
      <c r="AB265" s="12"/>
      <c r="AC265" s="12" t="str">
        <f>IF(OR(NOT(ISBLANK(AF265)), NOT(ISBLANK(AG265)), NOT(ISBLANK(AQ265)), NOT(ISBLANK(AN265))), "x", "")</f>
        <v/>
      </c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 spans="1:43" ht="13.5">
      <c r="A266" s="11" t="s">
        <v>284</v>
      </c>
      <c r="B266" s="12" t="s">
        <v>598</v>
      </c>
      <c r="C266" s="12"/>
      <c r="D266" s="12"/>
      <c r="E266" s="12"/>
      <c r="F266" s="12"/>
      <c r="G266" s="12" t="s">
        <v>701</v>
      </c>
      <c r="H266" s="12" t="s">
        <v>701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 t="s">
        <v>701</v>
      </c>
      <c r="W266" s="12"/>
      <c r="X266" s="12"/>
      <c r="Y266" s="12"/>
      <c r="Z266" s="12" t="s">
        <v>701</v>
      </c>
      <c r="AA266" s="12" t="s">
        <v>701</v>
      </c>
      <c r="AB266" s="12"/>
      <c r="AC266" s="12" t="str">
        <f>IF(OR(NOT(ISBLANK(AF266)), NOT(ISBLANK(AG266)), NOT(ISBLANK(AQ266)), NOT(ISBLANK(AN266))), "x", "")</f>
        <v/>
      </c>
      <c r="AD266" s="12"/>
      <c r="AE266" s="12"/>
      <c r="AF266" s="12"/>
      <c r="AG266" s="12"/>
      <c r="AH266" s="12" t="s">
        <v>701</v>
      </c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 spans="1:43" ht="13.5">
      <c r="A267" s="11" t="s">
        <v>285</v>
      </c>
      <c r="B267" s="12" t="s">
        <v>593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 t="str">
        <f>IF(OR(NOT(ISBLANK(AF267)), NOT(ISBLANK(AG267)), NOT(ISBLANK(AQ267)), NOT(ISBLANK(AN267))), "x", "")</f>
        <v/>
      </c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 spans="1:43" ht="13.5">
      <c r="A268" s="11" t="s">
        <v>286</v>
      </c>
      <c r="B268" s="12" t="s">
        <v>593</v>
      </c>
      <c r="C268" s="12" t="s">
        <v>701</v>
      </c>
      <c r="D268" s="12" t="s">
        <v>701</v>
      </c>
      <c r="E268" s="12"/>
      <c r="F268" s="12"/>
      <c r="G268" s="12" t="s">
        <v>701</v>
      </c>
      <c r="H268" s="12" t="s">
        <v>701</v>
      </c>
      <c r="I268" s="12" t="s">
        <v>701</v>
      </c>
      <c r="J268" s="12" t="s">
        <v>701</v>
      </c>
      <c r="K268" s="12"/>
      <c r="L268" s="12"/>
      <c r="M268" s="12"/>
      <c r="N268" s="12"/>
      <c r="O268" s="12" t="s">
        <v>701</v>
      </c>
      <c r="P268" s="12"/>
      <c r="Q268" s="12"/>
      <c r="R268" s="12"/>
      <c r="S268" s="12" t="s">
        <v>701</v>
      </c>
      <c r="T268" s="12"/>
      <c r="U268" s="12"/>
      <c r="V268" s="12" t="s">
        <v>701</v>
      </c>
      <c r="W268" s="12" t="s">
        <v>701</v>
      </c>
      <c r="X268" s="12" t="s">
        <v>701</v>
      </c>
      <c r="Y268" s="12" t="s">
        <v>701</v>
      </c>
      <c r="Z268" s="12" t="s">
        <v>701</v>
      </c>
      <c r="AA268" s="12" t="s">
        <v>701</v>
      </c>
      <c r="AB268" s="12" t="s">
        <v>701</v>
      </c>
      <c r="AC268" s="12" t="str">
        <f>IF(OR(NOT(ISBLANK(AF268)), NOT(ISBLANK(AG268)), NOT(ISBLANK(AQ268)), NOT(ISBLANK(AN268))), "x", "")</f>
        <v/>
      </c>
      <c r="AD268" s="12" t="s">
        <v>701</v>
      </c>
      <c r="AE268" s="12"/>
      <c r="AF268" s="12"/>
      <c r="AG268" s="12"/>
      <c r="AH268" s="12"/>
      <c r="AI268" s="12"/>
      <c r="AJ268" s="12"/>
      <c r="AK268" s="12"/>
      <c r="AL268" s="12"/>
      <c r="AM268" s="12" t="s">
        <v>701</v>
      </c>
      <c r="AN268" s="12"/>
      <c r="AO268" s="12" t="s">
        <v>701</v>
      </c>
      <c r="AP268" s="12" t="s">
        <v>701</v>
      </c>
      <c r="AQ268" s="12"/>
    </row>
    <row r="269" spans="1:43" ht="13.5">
      <c r="A269" s="11" t="s">
        <v>287</v>
      </c>
      <c r="B269" s="12" t="s">
        <v>588</v>
      </c>
      <c r="C269" s="12" t="s">
        <v>701</v>
      </c>
      <c r="D269" s="12" t="s">
        <v>701</v>
      </c>
      <c r="E269" s="12"/>
      <c r="F269" s="12" t="s">
        <v>701</v>
      </c>
      <c r="G269" s="12" t="s">
        <v>701</v>
      </c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 t="s">
        <v>701</v>
      </c>
      <c r="T269" s="12"/>
      <c r="U269" s="12"/>
      <c r="V269" s="12"/>
      <c r="W269" s="12" t="s">
        <v>701</v>
      </c>
      <c r="X269" s="12"/>
      <c r="Y269" s="12"/>
      <c r="Z269" s="12"/>
      <c r="AA269" s="12"/>
      <c r="AB269" s="12"/>
      <c r="AC269" s="12" t="str">
        <f>IF(OR(NOT(ISBLANK(AF269)), NOT(ISBLANK(AG269)), NOT(ISBLANK(AQ269)), NOT(ISBLANK(AN269))), "x", "")</f>
        <v/>
      </c>
      <c r="AD269" s="12" t="s">
        <v>701</v>
      </c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 spans="1:43" ht="13.5">
      <c r="A270" s="11" t="s">
        <v>288</v>
      </c>
      <c r="B270" s="12" t="s">
        <v>593</v>
      </c>
      <c r="C270" s="12" t="s">
        <v>701</v>
      </c>
      <c r="D270" s="12" t="s">
        <v>701</v>
      </c>
      <c r="E270" s="12"/>
      <c r="F270" s="12"/>
      <c r="G270" s="12"/>
      <c r="H270" s="12" t="s">
        <v>701</v>
      </c>
      <c r="I270" s="12" t="s">
        <v>701</v>
      </c>
      <c r="J270" s="12" t="s">
        <v>701</v>
      </c>
      <c r="K270" s="12"/>
      <c r="L270" s="12"/>
      <c r="M270" s="12"/>
      <c r="N270" s="12"/>
      <c r="O270" s="12" t="s">
        <v>701</v>
      </c>
      <c r="P270" s="12"/>
      <c r="Q270" s="12"/>
      <c r="R270" s="12"/>
      <c r="S270" s="12" t="s">
        <v>701</v>
      </c>
      <c r="T270" s="12"/>
      <c r="U270" s="12"/>
      <c r="V270" s="12" t="s">
        <v>701</v>
      </c>
      <c r="W270" s="12" t="s">
        <v>701</v>
      </c>
      <c r="X270" s="12" t="s">
        <v>701</v>
      </c>
      <c r="Y270" s="12" t="s">
        <v>701</v>
      </c>
      <c r="Z270" s="12" t="s">
        <v>701</v>
      </c>
      <c r="AA270" s="12" t="s">
        <v>701</v>
      </c>
      <c r="AB270" s="12" t="s">
        <v>701</v>
      </c>
      <c r="AC270" s="12" t="str" cm="1">
        <f t="array" ref="AC270">IF(OR(NOT(ISBLANK(AG27x)), NOT(ISBLANK(AH27x)), NOT(ISBLANK(AR27x)), NOT(ISBLANK(AO27x))), "x", "")</f>
        <v>x</v>
      </c>
      <c r="AD270" s="12" t="s">
        <v>701</v>
      </c>
      <c r="AE270" s="12"/>
      <c r="AF270" s="12"/>
      <c r="AG270" s="12"/>
      <c r="AH270" s="12"/>
      <c r="AI270" s="12" t="s">
        <v>701</v>
      </c>
      <c r="AJ270" s="12"/>
      <c r="AK270" s="12"/>
      <c r="AL270" s="12"/>
      <c r="AM270" s="12" t="s">
        <v>701</v>
      </c>
      <c r="AN270" s="12"/>
      <c r="AO270" s="12" t="s">
        <v>701</v>
      </c>
      <c r="AP270" s="12" t="s">
        <v>701</v>
      </c>
      <c r="AQ270" s="12"/>
    </row>
    <row r="271" spans="1:43" ht="13.5">
      <c r="A271" s="11" t="s">
        <v>289</v>
      </c>
      <c r="B271" s="12" t="s">
        <v>592</v>
      </c>
      <c r="C271" s="12" t="s">
        <v>701</v>
      </c>
      <c r="D271" s="12" t="s">
        <v>701</v>
      </c>
      <c r="E271" s="12"/>
      <c r="F271" s="12" t="s">
        <v>701</v>
      </c>
      <c r="G271" s="12" t="s">
        <v>701</v>
      </c>
      <c r="H271" s="12" t="s">
        <v>701</v>
      </c>
      <c r="I271" s="12" t="s">
        <v>701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 t="s">
        <v>701</v>
      </c>
      <c r="Z271" s="12"/>
      <c r="AA271" s="12" t="s">
        <v>701</v>
      </c>
      <c r="AB271" s="12"/>
      <c r="AC271" s="12" t="s">
        <v>701</v>
      </c>
      <c r="AD271" s="12" t="s">
        <v>701</v>
      </c>
      <c r="AE271" s="12"/>
      <c r="AF271" s="12" t="s">
        <v>701</v>
      </c>
      <c r="AG271" s="12" t="s">
        <v>701</v>
      </c>
      <c r="AH271" s="12" t="s">
        <v>701</v>
      </c>
      <c r="AI271" s="12"/>
      <c r="AJ271" s="12"/>
      <c r="AK271" s="12"/>
      <c r="AL271" s="12"/>
      <c r="AM271" s="12" t="s">
        <v>701</v>
      </c>
      <c r="AN271" s="12"/>
      <c r="AO271" s="12" t="s">
        <v>701</v>
      </c>
      <c r="AP271" s="12" t="s">
        <v>701</v>
      </c>
      <c r="AQ271" s="12" t="s">
        <v>701</v>
      </c>
    </row>
    <row r="272" spans="1:43" ht="13.5">
      <c r="A272" s="11" t="s">
        <v>290</v>
      </c>
      <c r="B272" s="12" t="s">
        <v>599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 t="str">
        <f>IF(OR(NOT(ISBLANK(AF272)), NOT(ISBLANK(AG272)), NOT(ISBLANK(AQ272)), NOT(ISBLANK(AN272))), "x", "")</f>
        <v/>
      </c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spans="1:43" ht="13.5">
      <c r="A273" s="11" t="s">
        <v>291</v>
      </c>
      <c r="B273" s="12" t="s">
        <v>587</v>
      </c>
      <c r="C273" s="12" t="s">
        <v>701</v>
      </c>
      <c r="D273" s="12" t="s">
        <v>701</v>
      </c>
      <c r="E273" s="12"/>
      <c r="F273" s="12" t="s">
        <v>701</v>
      </c>
      <c r="G273" s="12" t="s">
        <v>701</v>
      </c>
      <c r="H273" s="12" t="s">
        <v>701</v>
      </c>
      <c r="I273" s="12"/>
      <c r="J273" s="12"/>
      <c r="K273" s="12"/>
      <c r="L273" s="12"/>
      <c r="M273" s="12" t="s">
        <v>701</v>
      </c>
      <c r="N273" s="12"/>
      <c r="O273" s="12" t="s">
        <v>701</v>
      </c>
      <c r="P273" s="12"/>
      <c r="Q273" s="12" t="s">
        <v>701</v>
      </c>
      <c r="R273" s="12"/>
      <c r="S273" s="12" t="s">
        <v>701</v>
      </c>
      <c r="T273" s="12"/>
      <c r="U273" s="12" t="s">
        <v>701</v>
      </c>
      <c r="V273" s="12" t="s">
        <v>701</v>
      </c>
      <c r="W273" s="12"/>
      <c r="X273" s="12"/>
      <c r="Y273" s="12"/>
      <c r="Z273" s="12" t="s">
        <v>701</v>
      </c>
      <c r="AA273" s="12"/>
      <c r="AB273" s="12"/>
      <c r="AC273" s="12" t="str">
        <f>IF(OR(NOT(ISBLANK(AF273)), NOT(ISBLANK(AG273)), NOT(ISBLANK(AQ273)), NOT(ISBLANK(AN273))), "x", "")</f>
        <v/>
      </c>
      <c r="AD273" s="12" t="s">
        <v>701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spans="1:43" ht="13.5">
      <c r="A274" s="11" t="s">
        <v>292</v>
      </c>
      <c r="B274" s="12" t="s">
        <v>599</v>
      </c>
      <c r="C274" s="12"/>
      <c r="D274" s="12"/>
      <c r="E274" s="12"/>
      <c r="F274" s="12" t="s">
        <v>701</v>
      </c>
      <c r="G274" s="12" t="s">
        <v>701</v>
      </c>
      <c r="H274" s="12" t="s">
        <v>701</v>
      </c>
      <c r="I274" s="12" t="s">
        <v>701</v>
      </c>
      <c r="J274" s="12"/>
      <c r="K274" s="12"/>
      <c r="L274" s="12"/>
      <c r="M274" s="12" t="s">
        <v>701</v>
      </c>
      <c r="N274" s="12"/>
      <c r="O274" s="12" t="s">
        <v>701</v>
      </c>
      <c r="P274" s="12"/>
      <c r="Q274" s="12" t="s">
        <v>701</v>
      </c>
      <c r="R274" s="12"/>
      <c r="S274" s="12"/>
      <c r="T274" s="12"/>
      <c r="U274" s="12"/>
      <c r="V274" s="12"/>
      <c r="W274" s="12"/>
      <c r="X274" s="12" t="s">
        <v>701</v>
      </c>
      <c r="Y274" s="12"/>
      <c r="Z274" s="12" t="s">
        <v>701</v>
      </c>
      <c r="AA274" s="12"/>
      <c r="AB274" s="12"/>
      <c r="AC274" s="12" t="str">
        <f>IF(OR(NOT(ISBLANK(AF274)), NOT(ISBLANK(AG274)), NOT(ISBLANK(AQ274)), NOT(ISBLANK(AN274))), "x", "")</f>
        <v/>
      </c>
      <c r="AD274" s="12" t="s">
        <v>701</v>
      </c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spans="1:43" ht="13.5">
      <c r="A275" s="11" t="s">
        <v>293</v>
      </c>
      <c r="B275" s="12" t="s">
        <v>592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 t="str">
        <f>IF(OR(NOT(ISBLANK(AF275)), NOT(ISBLANK(AG275)), NOT(ISBLANK(AQ275)), NOT(ISBLANK(AN275))), "x", "")</f>
        <v/>
      </c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spans="1:43" ht="13.5">
      <c r="A276" s="11" t="s">
        <v>294</v>
      </c>
      <c r="B276" s="12" t="s">
        <v>587</v>
      </c>
      <c r="C276" s="12" t="s">
        <v>701</v>
      </c>
      <c r="D276" s="12" t="s">
        <v>701</v>
      </c>
      <c r="E276" s="12"/>
      <c r="F276" s="12" t="s">
        <v>701</v>
      </c>
      <c r="G276" s="12" t="s">
        <v>701</v>
      </c>
      <c r="H276" s="12" t="s">
        <v>701</v>
      </c>
      <c r="I276" s="12"/>
      <c r="J276" s="12"/>
      <c r="K276" s="12"/>
      <c r="L276" s="12"/>
      <c r="M276" s="12" t="s">
        <v>701</v>
      </c>
      <c r="N276" s="12"/>
      <c r="O276" s="12" t="s">
        <v>701</v>
      </c>
      <c r="P276" s="12"/>
      <c r="Q276" s="12" t="s">
        <v>701</v>
      </c>
      <c r="R276" s="12"/>
      <c r="S276" s="12" t="s">
        <v>701</v>
      </c>
      <c r="T276" s="12"/>
      <c r="U276" s="12" t="s">
        <v>701</v>
      </c>
      <c r="V276" s="12" t="s">
        <v>701</v>
      </c>
      <c r="W276" s="12"/>
      <c r="X276" s="12"/>
      <c r="Y276" s="12"/>
      <c r="Z276" s="12" t="s">
        <v>701</v>
      </c>
      <c r="AA276" s="12"/>
      <c r="AB276" s="12"/>
      <c r="AC276" s="12" t="str">
        <f>IF(OR(NOT(ISBLANK(AF276)), NOT(ISBLANK(AG276)), NOT(ISBLANK(AQ276)), NOT(ISBLANK(AN276))), "x", "")</f>
        <v/>
      </c>
      <c r="AD276" s="12" t="s">
        <v>701</v>
      </c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spans="1:43" ht="13.5">
      <c r="A277" s="11" t="s">
        <v>295</v>
      </c>
      <c r="B277" s="12" t="s">
        <v>588</v>
      </c>
      <c r="C277" s="12" t="s">
        <v>701</v>
      </c>
      <c r="D277" s="12" t="s">
        <v>701</v>
      </c>
      <c r="E277" s="12"/>
      <c r="F277" s="12" t="s">
        <v>701</v>
      </c>
      <c r="G277" s="12" t="s">
        <v>701</v>
      </c>
      <c r="H277" s="12" t="s">
        <v>701</v>
      </c>
      <c r="I277" s="12"/>
      <c r="J277" s="12"/>
      <c r="K277" s="12"/>
      <c r="L277" s="12"/>
      <c r="M277" s="12" t="s">
        <v>701</v>
      </c>
      <c r="N277" s="12"/>
      <c r="O277" s="12" t="s">
        <v>701</v>
      </c>
      <c r="P277" s="12"/>
      <c r="Q277" s="12" t="s">
        <v>701</v>
      </c>
      <c r="R277" s="12"/>
      <c r="S277" s="12" t="s">
        <v>701</v>
      </c>
      <c r="T277" s="12"/>
      <c r="U277" s="12" t="s">
        <v>701</v>
      </c>
      <c r="V277" s="12" t="s">
        <v>701</v>
      </c>
      <c r="W277" s="12" t="s">
        <v>701</v>
      </c>
      <c r="X277" s="12"/>
      <c r="Y277" s="12"/>
      <c r="Z277" s="12" t="s">
        <v>701</v>
      </c>
      <c r="AA277" s="12"/>
      <c r="AB277" s="12"/>
      <c r="AC277" s="12" t="str">
        <f>IF(OR(NOT(ISBLANK(AF277)), NOT(ISBLANK(AG277)), NOT(ISBLANK(AQ277)), NOT(ISBLANK(AN277))), "x", "")</f>
        <v/>
      </c>
      <c r="AD277" s="12" t="s">
        <v>701</v>
      </c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spans="1:43" ht="13.5">
      <c r="A278" s="11" t="s">
        <v>296</v>
      </c>
      <c r="B278" s="12" t="s">
        <v>598</v>
      </c>
      <c r="C278" s="12" t="s">
        <v>701</v>
      </c>
      <c r="D278" s="12" t="s">
        <v>701</v>
      </c>
      <c r="E278" s="12"/>
      <c r="F278" s="12" t="s">
        <v>701</v>
      </c>
      <c r="G278" s="12" t="s">
        <v>701</v>
      </c>
      <c r="H278" s="12" t="s">
        <v>701</v>
      </c>
      <c r="I278" s="12" t="s">
        <v>701</v>
      </c>
      <c r="J278" s="12"/>
      <c r="K278" s="12"/>
      <c r="L278" s="12"/>
      <c r="M278" s="12" t="s">
        <v>701</v>
      </c>
      <c r="N278" s="12"/>
      <c r="O278" s="12" t="s">
        <v>701</v>
      </c>
      <c r="P278" s="12"/>
      <c r="Q278" s="12"/>
      <c r="R278" s="12"/>
      <c r="S278" s="12"/>
      <c r="T278" s="12"/>
      <c r="U278" s="12" t="s">
        <v>701</v>
      </c>
      <c r="V278" s="12" t="s">
        <v>701</v>
      </c>
      <c r="W278" s="12" t="s">
        <v>701</v>
      </c>
      <c r="X278" s="12"/>
      <c r="Y278" s="12"/>
      <c r="Z278" s="12"/>
      <c r="AA278" s="12" t="s">
        <v>701</v>
      </c>
      <c r="AB278" s="12"/>
      <c r="AC278" s="12" t="str">
        <f>IF(OR(NOT(ISBLANK(AF278)), NOT(ISBLANK(AG278)), NOT(ISBLANK(AQ278)), NOT(ISBLANK(AN278))), "x", "")</f>
        <v/>
      </c>
      <c r="AD278" s="12" t="s">
        <v>701</v>
      </c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 spans="1:43" ht="13.5">
      <c r="A279" s="11" t="s">
        <v>297</v>
      </c>
      <c r="B279" s="12" t="s">
        <v>592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 t="str">
        <f>IF(OR(NOT(ISBLANK(AF279)), NOT(ISBLANK(AG279)), NOT(ISBLANK(AQ279)), NOT(ISBLANK(AN279))), "x", "")</f>
        <v/>
      </c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 spans="1:43" ht="13.5">
      <c r="A280" s="11" t="s">
        <v>298</v>
      </c>
      <c r="B280" s="12" t="s">
        <v>603</v>
      </c>
      <c r="C280" s="12" t="s">
        <v>701</v>
      </c>
      <c r="D280" s="12" t="s">
        <v>701</v>
      </c>
      <c r="E280" s="12"/>
      <c r="F280" s="12"/>
      <c r="G280" s="12" t="s">
        <v>701</v>
      </c>
      <c r="H280" s="12" t="s">
        <v>701</v>
      </c>
      <c r="I280" s="12"/>
      <c r="J280" s="12"/>
      <c r="K280" s="12" t="s">
        <v>701</v>
      </c>
      <c r="L280" s="12"/>
      <c r="M280" s="12"/>
      <c r="N280" s="12"/>
      <c r="O280" s="12"/>
      <c r="P280" s="12"/>
      <c r="Q280" s="12"/>
      <c r="R280" s="12"/>
      <c r="S280" s="12"/>
      <c r="T280" s="12" t="s">
        <v>701</v>
      </c>
      <c r="U280" s="12"/>
      <c r="V280" s="12" t="s">
        <v>701</v>
      </c>
      <c r="W280" s="12"/>
      <c r="X280" s="12"/>
      <c r="Y280" s="12" t="s">
        <v>701</v>
      </c>
      <c r="Z280" s="12"/>
      <c r="AA280" s="12" t="s">
        <v>701</v>
      </c>
      <c r="AB280" s="12"/>
      <c r="AC280" s="12" t="str" cm="1">
        <f t="array" ref="AC280">IF(OR(NOT(ISBLANK(AG28x)), NOT(ISBLANK(AH28x)), NOT(ISBLANK(AR28x)), NOT(ISBLANK(AO28x))), "x", "")</f>
        <v>x</v>
      </c>
      <c r="AD280" s="12"/>
      <c r="AE280" s="12"/>
      <c r="AF280" s="12"/>
      <c r="AG280" s="12"/>
      <c r="AH280" s="12"/>
      <c r="AI280" s="12" t="s">
        <v>701</v>
      </c>
      <c r="AJ280" s="12" t="s">
        <v>701</v>
      </c>
      <c r="AK280" s="12"/>
      <c r="AL280" s="12" t="s">
        <v>701</v>
      </c>
      <c r="AM280" s="12"/>
      <c r="AN280" s="12"/>
      <c r="AO280" s="12"/>
      <c r="AP280" s="12"/>
      <c r="AQ280" s="12"/>
    </row>
    <row r="281" spans="1:43" ht="13.5">
      <c r="A281" s="11" t="s">
        <v>299</v>
      </c>
      <c r="B281" s="12" t="s">
        <v>593</v>
      </c>
      <c r="C281" s="12" t="s">
        <v>701</v>
      </c>
      <c r="D281" s="12" t="s">
        <v>701</v>
      </c>
      <c r="E281" s="12"/>
      <c r="F281" s="12"/>
      <c r="G281" s="12" t="s">
        <v>701</v>
      </c>
      <c r="H281" s="12" t="s">
        <v>701</v>
      </c>
      <c r="I281" s="12" t="s">
        <v>701</v>
      </c>
      <c r="J281" s="12" t="s">
        <v>701</v>
      </c>
      <c r="K281" s="12"/>
      <c r="L281" s="12"/>
      <c r="M281" s="12"/>
      <c r="N281" s="12"/>
      <c r="O281" s="12" t="s">
        <v>701</v>
      </c>
      <c r="P281" s="12"/>
      <c r="Q281" s="12"/>
      <c r="R281" s="12"/>
      <c r="S281" s="12" t="s">
        <v>701</v>
      </c>
      <c r="T281" s="12"/>
      <c r="U281" s="12"/>
      <c r="V281" s="12" t="s">
        <v>701</v>
      </c>
      <c r="W281" s="12"/>
      <c r="X281" s="12"/>
      <c r="Y281" s="12" t="s">
        <v>701</v>
      </c>
      <c r="Z281" s="12" t="s">
        <v>701</v>
      </c>
      <c r="AA281" s="12" t="s">
        <v>701</v>
      </c>
      <c r="AB281" s="12" t="s">
        <v>701</v>
      </c>
      <c r="AC281" s="12" t="str">
        <f>IF(OR(NOT(ISBLANK(AF281)), NOT(ISBLANK(AG281)), NOT(ISBLANK(AQ281)), NOT(ISBLANK(AN281))), "x", "")</f>
        <v/>
      </c>
      <c r="AD281" s="12" t="s">
        <v>701</v>
      </c>
      <c r="AE281" s="12"/>
      <c r="AF281" s="12"/>
      <c r="AG281" s="12"/>
      <c r="AH281" s="12"/>
      <c r="AI281" s="12"/>
      <c r="AJ281" s="12"/>
      <c r="AK281" s="12"/>
      <c r="AL281" s="12"/>
      <c r="AM281" s="12" t="s">
        <v>701</v>
      </c>
      <c r="AN281" s="12"/>
      <c r="AO281" s="12" t="s">
        <v>701</v>
      </c>
      <c r="AP281" s="12" t="s">
        <v>701</v>
      </c>
      <c r="AQ281" s="12"/>
    </row>
    <row r="282" spans="1:43" ht="13.5">
      <c r="A282" s="11" t="s">
        <v>300</v>
      </c>
      <c r="B282" s="12" t="s">
        <v>603</v>
      </c>
      <c r="C282" s="12" t="s">
        <v>701</v>
      </c>
      <c r="D282" s="12" t="s">
        <v>701</v>
      </c>
      <c r="E282" s="12"/>
      <c r="F282" s="12"/>
      <c r="G282" s="12" t="s">
        <v>701</v>
      </c>
      <c r="H282" s="12" t="s">
        <v>701</v>
      </c>
      <c r="I282" s="12" t="s">
        <v>701</v>
      </c>
      <c r="J282" s="12"/>
      <c r="K282" s="12" t="s">
        <v>701</v>
      </c>
      <c r="L282" s="12" t="s">
        <v>701</v>
      </c>
      <c r="M282" s="12" t="s">
        <v>701</v>
      </c>
      <c r="N282" s="12"/>
      <c r="O282" s="12"/>
      <c r="P282" s="12"/>
      <c r="Q282" s="12" t="s">
        <v>701</v>
      </c>
      <c r="R282" s="12"/>
      <c r="S282" s="12" t="s">
        <v>701</v>
      </c>
      <c r="T282" s="12" t="s">
        <v>701</v>
      </c>
      <c r="U282" s="12" t="s">
        <v>701</v>
      </c>
      <c r="V282" s="12" t="s">
        <v>701</v>
      </c>
      <c r="W282" s="12"/>
      <c r="X282" s="12"/>
      <c r="Y282" s="12" t="s">
        <v>701</v>
      </c>
      <c r="Z282" s="12"/>
      <c r="AA282" s="12" t="s">
        <v>701</v>
      </c>
      <c r="AB282" s="12" t="s">
        <v>701</v>
      </c>
      <c r="AC282" s="12" t="str">
        <f>IF(OR(NOT(ISBLANK(AF282)), NOT(ISBLANK(AG282)), NOT(ISBLANK(AQ282)), NOT(ISBLANK(AN282))), "x", "")</f>
        <v/>
      </c>
      <c r="AD282" s="12"/>
      <c r="AE282" s="12"/>
      <c r="AF282" s="12"/>
      <c r="AG282" s="12"/>
      <c r="AH282" s="12"/>
      <c r="AI282" s="12" t="s">
        <v>701</v>
      </c>
      <c r="AJ282" s="12" t="s">
        <v>701</v>
      </c>
      <c r="AK282" s="12"/>
      <c r="AL282" s="12" t="s">
        <v>701</v>
      </c>
      <c r="AM282" s="12"/>
      <c r="AN282" s="12"/>
      <c r="AO282" s="12"/>
      <c r="AP282" s="12"/>
      <c r="AQ282" s="12"/>
    </row>
    <row r="283" spans="1:43" ht="13.5">
      <c r="A283" s="11" t="s">
        <v>301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 t="str">
        <f>IF(OR(NOT(ISBLANK(AF283)), NOT(ISBLANK(AG283)), NOT(ISBLANK(AQ283)), NOT(ISBLANK(AN283))), "x", "")</f>
        <v/>
      </c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 spans="1:43" ht="13.5">
      <c r="A284" s="11" t="s">
        <v>302</v>
      </c>
      <c r="B284" s="12" t="s">
        <v>587</v>
      </c>
      <c r="C284" s="12"/>
      <c r="D284" s="12" t="s">
        <v>701</v>
      </c>
      <c r="E284" s="12"/>
      <c r="F284" s="12" t="s">
        <v>701</v>
      </c>
      <c r="G284" s="12" t="s">
        <v>701</v>
      </c>
      <c r="H284" s="12" t="s">
        <v>701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 t="s">
        <v>701</v>
      </c>
      <c r="T284" s="12"/>
      <c r="U284" s="12"/>
      <c r="V284" s="12"/>
      <c r="W284" s="12" t="s">
        <v>701</v>
      </c>
      <c r="X284" s="12"/>
      <c r="Y284" s="12"/>
      <c r="Z284" s="12"/>
      <c r="AA284" s="12"/>
      <c r="AB284" s="12"/>
      <c r="AC284" s="12" t="str">
        <f>IF(OR(NOT(ISBLANK(AF284)), NOT(ISBLANK(AG284)), NOT(ISBLANK(AQ284)), NOT(ISBLANK(AN284))), "x", "")</f>
        <v/>
      </c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 spans="1:43" ht="13.5">
      <c r="A285" s="11" t="s">
        <v>303</v>
      </c>
      <c r="B285" s="12" t="s">
        <v>588</v>
      </c>
      <c r="C285" s="12" t="s">
        <v>701</v>
      </c>
      <c r="D285" s="12" t="s">
        <v>701</v>
      </c>
      <c r="E285" s="12"/>
      <c r="F285" s="12"/>
      <c r="G285" s="12" t="s">
        <v>701</v>
      </c>
      <c r="H285" s="12"/>
      <c r="I285" s="12" t="s">
        <v>701</v>
      </c>
      <c r="J285" s="12"/>
      <c r="K285" s="12"/>
      <c r="L285" s="12"/>
      <c r="M285" s="12"/>
      <c r="N285" s="12"/>
      <c r="O285" s="12" t="s">
        <v>701</v>
      </c>
      <c r="P285" s="12"/>
      <c r="Q285" s="12"/>
      <c r="R285" s="12"/>
      <c r="S285" s="12"/>
      <c r="T285" s="12"/>
      <c r="U285" s="12"/>
      <c r="V285" s="12" t="s">
        <v>701</v>
      </c>
      <c r="W285" s="12" t="s">
        <v>701</v>
      </c>
      <c r="X285" s="12" t="s">
        <v>701</v>
      </c>
      <c r="Y285" s="12" t="s">
        <v>701</v>
      </c>
      <c r="Z285" s="12" t="s">
        <v>701</v>
      </c>
      <c r="AA285" s="12" t="s">
        <v>701</v>
      </c>
      <c r="AB285" s="12" t="s">
        <v>701</v>
      </c>
      <c r="AC285" s="12" t="str">
        <f>IF(OR(NOT(ISBLANK(AF285)), NOT(ISBLANK(AG285)), NOT(ISBLANK(AQ285)), NOT(ISBLANK(AN285))), "x", "")</f>
        <v/>
      </c>
      <c r="AD285" s="12" t="s">
        <v>701</v>
      </c>
      <c r="AE285" s="12"/>
      <c r="AF285" s="12"/>
      <c r="AG285" s="12"/>
      <c r="AH285" s="12"/>
      <c r="AI285" s="12"/>
      <c r="AJ285" s="12"/>
      <c r="AK285" s="12"/>
      <c r="AL285" s="12"/>
      <c r="AM285" s="12" t="s">
        <v>701</v>
      </c>
      <c r="AN285" s="12"/>
      <c r="AO285" s="12"/>
      <c r="AP285" s="12"/>
      <c r="AQ285" s="12"/>
    </row>
    <row r="286" spans="1:43" ht="13.5">
      <c r="A286" s="11" t="s">
        <v>304</v>
      </c>
      <c r="B286" s="12" t="s">
        <v>588</v>
      </c>
      <c r="C286" s="12"/>
      <c r="D286" s="12" t="s">
        <v>701</v>
      </c>
      <c r="E286" s="12"/>
      <c r="F286" s="12" t="s">
        <v>701</v>
      </c>
      <c r="G286" s="12" t="s">
        <v>701</v>
      </c>
      <c r="H286" s="12" t="s">
        <v>701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 t="s">
        <v>701</v>
      </c>
      <c r="T286" s="12"/>
      <c r="U286" s="12"/>
      <c r="V286" s="12" t="s">
        <v>701</v>
      </c>
      <c r="W286" s="12" t="s">
        <v>701</v>
      </c>
      <c r="X286" s="12"/>
      <c r="Y286" s="12"/>
      <c r="Z286" s="12"/>
      <c r="AA286" s="12"/>
      <c r="AB286" s="12"/>
      <c r="AC286" s="12" t="str">
        <f>IF(OR(NOT(ISBLANK(AF286)), NOT(ISBLANK(AG286)), NOT(ISBLANK(AQ286)), NOT(ISBLANK(AN286))), "x", "")</f>
        <v/>
      </c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 spans="1:43" ht="13.5">
      <c r="A287" s="11" t="s">
        <v>305</v>
      </c>
      <c r="B287" s="12" t="s">
        <v>588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 t="str">
        <f>IF(OR(NOT(ISBLANK(AF287)), NOT(ISBLANK(AG287)), NOT(ISBLANK(AQ287)), NOT(ISBLANK(AN287))), "x", "")</f>
        <v/>
      </c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  <row r="288" spans="1:43" ht="13.5">
      <c r="A288" s="11" t="s">
        <v>306</v>
      </c>
      <c r="B288" s="12" t="s">
        <v>588</v>
      </c>
      <c r="C288" s="12" t="s">
        <v>701</v>
      </c>
      <c r="D288" s="12"/>
      <c r="E288" s="12"/>
      <c r="F288" s="12"/>
      <c r="G288" s="12" t="s">
        <v>701</v>
      </c>
      <c r="H288" s="12"/>
      <c r="I288" s="12"/>
      <c r="J288" s="12"/>
      <c r="K288" s="12"/>
      <c r="L288" s="12"/>
      <c r="M288" s="12"/>
      <c r="N288" s="12"/>
      <c r="O288" s="12" t="s">
        <v>701</v>
      </c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 t="str">
        <f>IF(OR(NOT(ISBLANK(AF288)), NOT(ISBLANK(AG288)), NOT(ISBLANK(AQ288)), NOT(ISBLANK(AN288))), "x", "")</f>
        <v>x</v>
      </c>
      <c r="AD288" s="12" t="s">
        <v>701</v>
      </c>
      <c r="AE288" s="12" t="s">
        <v>701</v>
      </c>
      <c r="AF288" s="12"/>
      <c r="AG288" s="12"/>
      <c r="AH288" s="12"/>
      <c r="AI288" s="12"/>
      <c r="AJ288" s="12"/>
      <c r="AK288" s="12"/>
      <c r="AL288" s="12"/>
      <c r="AM288" s="12" t="s">
        <v>701</v>
      </c>
      <c r="AN288" s="12"/>
      <c r="AO288" s="12" t="s">
        <v>701</v>
      </c>
      <c r="AP288" s="12" t="s">
        <v>701</v>
      </c>
      <c r="AQ288" s="12" t="s">
        <v>701</v>
      </c>
    </row>
    <row r="289" spans="1:43" ht="13.5">
      <c r="A289" s="11" t="s">
        <v>307</v>
      </c>
      <c r="B289" s="12" t="s">
        <v>588</v>
      </c>
      <c r="C289" s="12" t="s">
        <v>701</v>
      </c>
      <c r="D289" s="12"/>
      <c r="E289" s="12"/>
      <c r="F289" s="12"/>
      <c r="G289" s="12" t="s">
        <v>701</v>
      </c>
      <c r="H289" s="12"/>
      <c r="I289" s="12"/>
      <c r="J289" s="12"/>
      <c r="K289" s="12"/>
      <c r="L289" s="12"/>
      <c r="M289" s="12"/>
      <c r="N289" s="12"/>
      <c r="O289" s="12" t="s">
        <v>701</v>
      </c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 t="str">
        <f>IF(OR(NOT(ISBLANK(AF289)), NOT(ISBLANK(AG289)), NOT(ISBLANK(AQ289)), NOT(ISBLANK(AN289))), "x", "")</f>
        <v>x</v>
      </c>
      <c r="AD289" s="12" t="s">
        <v>701</v>
      </c>
      <c r="AE289" s="12" t="s">
        <v>701</v>
      </c>
      <c r="AF289" s="12"/>
      <c r="AG289" s="12"/>
      <c r="AH289" s="12"/>
      <c r="AI289" s="12"/>
      <c r="AJ289" s="12"/>
      <c r="AK289" s="12"/>
      <c r="AL289" s="12"/>
      <c r="AM289" s="12" t="s">
        <v>701</v>
      </c>
      <c r="AN289" s="12"/>
      <c r="AO289" s="12" t="s">
        <v>701</v>
      </c>
      <c r="AP289" s="12" t="s">
        <v>701</v>
      </c>
      <c r="AQ289" s="12" t="s">
        <v>701</v>
      </c>
    </row>
    <row r="290" spans="1:43" ht="13.5">
      <c r="A290" s="11" t="s">
        <v>308</v>
      </c>
      <c r="B290" s="12" t="s">
        <v>588</v>
      </c>
      <c r="C290" s="12" t="s">
        <v>701</v>
      </c>
      <c r="D290" s="12"/>
      <c r="E290" s="12"/>
      <c r="F290" s="12" t="s">
        <v>701</v>
      </c>
      <c r="G290" s="12" t="s">
        <v>701</v>
      </c>
      <c r="H290" s="12" t="s">
        <v>701</v>
      </c>
      <c r="I290" s="12"/>
      <c r="J290" s="12"/>
      <c r="K290" s="12"/>
      <c r="L290" s="12"/>
      <c r="M290" s="12"/>
      <c r="N290" s="12"/>
      <c r="O290" s="12"/>
      <c r="P290" s="12"/>
      <c r="Q290" s="12" t="s">
        <v>701</v>
      </c>
      <c r="R290" s="12" t="s">
        <v>701</v>
      </c>
      <c r="S290" s="12" t="s">
        <v>701</v>
      </c>
      <c r="T290" s="12"/>
      <c r="U290" s="12"/>
      <c r="V290" s="12"/>
      <c r="W290" s="12"/>
      <c r="X290" s="12"/>
      <c r="Y290" s="12"/>
      <c r="Z290" s="12"/>
      <c r="AA290" s="12"/>
      <c r="AB290" s="12"/>
      <c r="AC290" s="12" t="str" cm="1">
        <f t="array" ref="AC290">IF(OR(NOT(ISBLANK(AG29x)), NOT(ISBLANK(AH29x)), NOT(ISBLANK(AR29x)), NOT(ISBLANK(AO29x))), "x", "")</f>
        <v>x</v>
      </c>
      <c r="AD290" s="12" t="s">
        <v>701</v>
      </c>
      <c r="AE290" s="12"/>
      <c r="AF290" s="12"/>
      <c r="AG290" s="12"/>
      <c r="AH290" s="12" t="s">
        <v>701</v>
      </c>
      <c r="AI290" s="12"/>
      <c r="AJ290" s="12"/>
      <c r="AK290" s="12"/>
      <c r="AL290" s="12"/>
      <c r="AM290" s="12"/>
      <c r="AN290" s="12"/>
      <c r="AO290" s="12"/>
      <c r="AP290" s="12"/>
      <c r="AQ290" s="12"/>
    </row>
    <row r="291" spans="1:43" ht="13.5">
      <c r="A291" s="11" t="s">
        <v>309</v>
      </c>
      <c r="B291" s="12" t="s">
        <v>588</v>
      </c>
      <c r="C291" s="12" t="s">
        <v>701</v>
      </c>
      <c r="D291" s="12"/>
      <c r="E291" s="12"/>
      <c r="F291" s="12"/>
      <c r="G291" s="12" t="s">
        <v>701</v>
      </c>
      <c r="H291" s="12" t="s">
        <v>701</v>
      </c>
      <c r="I291" s="12"/>
      <c r="J291" s="12" t="s">
        <v>701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 t="s">
        <v>701</v>
      </c>
      <c r="AB291" s="12"/>
      <c r="AC291" s="12" t="str">
        <f>IF(OR(NOT(ISBLANK(AF291)), NOT(ISBLANK(AG291)), NOT(ISBLANK(AQ291)), NOT(ISBLANK(AN291))), "x", "")</f>
        <v/>
      </c>
      <c r="AD291" s="12" t="s">
        <v>701</v>
      </c>
      <c r="AE291" s="12"/>
      <c r="AF291" s="12"/>
      <c r="AG291" s="12"/>
      <c r="AH291" s="12"/>
      <c r="AI291" s="12"/>
      <c r="AJ291" s="12"/>
      <c r="AK291" s="12"/>
      <c r="AL291" s="12"/>
      <c r="AM291" s="12" t="s">
        <v>701</v>
      </c>
      <c r="AN291" s="12"/>
      <c r="AO291" s="12"/>
      <c r="AP291" s="12" t="s">
        <v>701</v>
      </c>
      <c r="AQ291" s="12"/>
    </row>
    <row r="292" spans="1:43" ht="13.5">
      <c r="A292" s="11" t="s">
        <v>310</v>
      </c>
      <c r="B292" s="12" t="s">
        <v>605</v>
      </c>
      <c r="C292" s="12" t="s">
        <v>701</v>
      </c>
      <c r="D292" s="12"/>
      <c r="E292" s="12"/>
      <c r="F292" s="12" t="s">
        <v>701</v>
      </c>
      <c r="G292" s="12"/>
      <c r="H292" s="12"/>
      <c r="I292" s="12" t="s">
        <v>701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 t="s">
        <v>701</v>
      </c>
      <c r="W292" s="12"/>
      <c r="X292" s="12"/>
      <c r="Y292" s="12"/>
      <c r="Z292" s="12" t="s">
        <v>701</v>
      </c>
      <c r="AA292" s="12"/>
      <c r="AB292" s="12"/>
      <c r="AC292" s="12" t="str">
        <f>IF(OR(NOT(ISBLANK(AF292)), NOT(ISBLANK(AG292)), NOT(ISBLANK(AQ292)), NOT(ISBLANK(AN292))), "x", "")</f>
        <v>x</v>
      </c>
      <c r="AD292" s="12" t="s">
        <v>701</v>
      </c>
      <c r="AE292" s="12" t="s">
        <v>701</v>
      </c>
      <c r="AF292" s="12" t="s">
        <v>701</v>
      </c>
      <c r="AG292" s="12" t="s">
        <v>701</v>
      </c>
      <c r="AH292" s="12"/>
      <c r="AI292" s="12" t="s">
        <v>701</v>
      </c>
      <c r="AJ292" s="12"/>
      <c r="AK292" s="12"/>
      <c r="AL292" s="12"/>
      <c r="AM292" s="12" t="s">
        <v>701</v>
      </c>
      <c r="AN292" s="12"/>
      <c r="AO292" s="12" t="s">
        <v>701</v>
      </c>
      <c r="AP292" s="12" t="s">
        <v>701</v>
      </c>
      <c r="AQ292" s="12" t="s">
        <v>701</v>
      </c>
    </row>
    <row r="293" spans="1:43" ht="13.5">
      <c r="A293" s="11" t="s">
        <v>311</v>
      </c>
      <c r="B293" s="12" t="s">
        <v>607</v>
      </c>
      <c r="C293" s="12" t="s">
        <v>701</v>
      </c>
      <c r="D293" s="12"/>
      <c r="E293" s="12"/>
      <c r="F293" s="12"/>
      <c r="G293" s="12" t="s">
        <v>701</v>
      </c>
      <c r="H293" s="12" t="s">
        <v>701</v>
      </c>
      <c r="I293" s="12" t="s">
        <v>701</v>
      </c>
      <c r="J293" s="12" t="s">
        <v>701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 t="s">
        <v>701</v>
      </c>
      <c r="W293" s="12"/>
      <c r="X293" s="12"/>
      <c r="Y293" s="12"/>
      <c r="Z293" s="12"/>
      <c r="AA293" s="12"/>
      <c r="AB293" s="12"/>
      <c r="AC293" s="12" t="str">
        <f>IF(OR(NOT(ISBLANK(AF293)), NOT(ISBLANK(AG293)), NOT(ISBLANK(AQ293)), NOT(ISBLANK(AN293))), "x", "")</f>
        <v/>
      </c>
      <c r="AD293" s="12" t="s">
        <v>701</v>
      </c>
      <c r="AE293" s="12" t="s">
        <v>701</v>
      </c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</row>
    <row r="294" spans="1:43" ht="13.5">
      <c r="A294" s="11" t="s">
        <v>312</v>
      </c>
      <c r="B294" s="12" t="s">
        <v>596</v>
      </c>
      <c r="C294" s="12" t="s">
        <v>701</v>
      </c>
      <c r="D294" s="12"/>
      <c r="E294" s="12"/>
      <c r="F294" s="12" t="s">
        <v>701</v>
      </c>
      <c r="G294" s="12" t="s">
        <v>701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 t="s">
        <v>701</v>
      </c>
      <c r="T294" s="12"/>
      <c r="U294" s="12"/>
      <c r="V294" s="12" t="s">
        <v>701</v>
      </c>
      <c r="W294" s="12"/>
      <c r="X294" s="12"/>
      <c r="Y294" s="12" t="s">
        <v>701</v>
      </c>
      <c r="Z294" s="12" t="s">
        <v>701</v>
      </c>
      <c r="AA294" s="12"/>
      <c r="AB294" s="12"/>
      <c r="AC294" s="12" t="str">
        <f>IF(OR(NOT(ISBLANK(AF294)), NOT(ISBLANK(AG294)), NOT(ISBLANK(AQ294)), NOT(ISBLANK(AN294))), "x", "")</f>
        <v/>
      </c>
      <c r="AD294" s="12" t="s">
        <v>701</v>
      </c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</row>
    <row r="295" spans="1:43" ht="13.5">
      <c r="A295" s="11" t="s">
        <v>313</v>
      </c>
      <c r="B295" s="12" t="s">
        <v>598</v>
      </c>
      <c r="C295" s="12" t="s">
        <v>701</v>
      </c>
      <c r="D295" s="12"/>
      <c r="E295" s="12"/>
      <c r="F295" s="12" t="s">
        <v>701</v>
      </c>
      <c r="G295" s="12" t="s">
        <v>701</v>
      </c>
      <c r="H295" s="12" t="s">
        <v>701</v>
      </c>
      <c r="I295" s="12" t="s">
        <v>701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 t="s">
        <v>701</v>
      </c>
      <c r="W295" s="12"/>
      <c r="X295" s="12" t="s">
        <v>701</v>
      </c>
      <c r="Y295" s="12"/>
      <c r="Z295" s="12" t="s">
        <v>701</v>
      </c>
      <c r="AA295" s="12" t="s">
        <v>701</v>
      </c>
      <c r="AB295" s="12"/>
      <c r="AC295" s="12" t="str">
        <f>IF(OR(NOT(ISBLANK(AF295)), NOT(ISBLANK(AG295)), NOT(ISBLANK(AQ295)), NOT(ISBLANK(AN295))), "x", "")</f>
        <v>x</v>
      </c>
      <c r="AD295" s="12" t="s">
        <v>701</v>
      </c>
      <c r="AE295" s="12" t="s">
        <v>701</v>
      </c>
      <c r="AF295" s="12"/>
      <c r="AG295" s="12" t="s">
        <v>701</v>
      </c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</row>
    <row r="296" spans="1:43" ht="13.5">
      <c r="A296" s="11" t="s">
        <v>314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 t="str">
        <f>IF(OR(NOT(ISBLANK(AF296)), NOT(ISBLANK(AG296)), NOT(ISBLANK(AQ296)), NOT(ISBLANK(AN296))), "x", "")</f>
        <v/>
      </c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</row>
    <row r="297" spans="1:43" ht="13.5">
      <c r="A297" s="11" t="s">
        <v>315</v>
      </c>
      <c r="B297" s="12" t="s">
        <v>587</v>
      </c>
      <c r="C297" s="12"/>
      <c r="D297" s="12" t="s">
        <v>701</v>
      </c>
      <c r="E297" s="12"/>
      <c r="F297" s="12" t="s">
        <v>701</v>
      </c>
      <c r="G297" s="12" t="s">
        <v>701</v>
      </c>
      <c r="H297" s="12" t="s">
        <v>701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 t="s">
        <v>701</v>
      </c>
      <c r="T297" s="12"/>
      <c r="U297" s="12"/>
      <c r="V297" s="12"/>
      <c r="W297" s="12" t="s">
        <v>701</v>
      </c>
      <c r="X297" s="12"/>
      <c r="Y297" s="12"/>
      <c r="Z297" s="12"/>
      <c r="AA297" s="12"/>
      <c r="AB297" s="12"/>
      <c r="AC297" s="12" t="str">
        <f>IF(OR(NOT(ISBLANK(AF297)), NOT(ISBLANK(AG297)), NOT(ISBLANK(AQ297)), NOT(ISBLANK(AN297))), "x", "")</f>
        <v/>
      </c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</row>
    <row r="298" spans="1:43" ht="13.5">
      <c r="A298" s="11" t="s">
        <v>316</v>
      </c>
      <c r="B298" s="12" t="s">
        <v>588</v>
      </c>
      <c r="C298" s="12" t="s">
        <v>701</v>
      </c>
      <c r="D298" s="12" t="s">
        <v>701</v>
      </c>
      <c r="E298" s="12"/>
      <c r="F298" s="12"/>
      <c r="G298" s="12" t="s">
        <v>701</v>
      </c>
      <c r="H298" s="12"/>
      <c r="I298" s="12" t="s">
        <v>701</v>
      </c>
      <c r="J298" s="12"/>
      <c r="K298" s="12"/>
      <c r="L298" s="12"/>
      <c r="M298" s="12"/>
      <c r="N298" s="12"/>
      <c r="O298" s="12" t="s">
        <v>701</v>
      </c>
      <c r="P298" s="12"/>
      <c r="Q298" s="12"/>
      <c r="R298" s="12"/>
      <c r="S298" s="12"/>
      <c r="T298" s="12"/>
      <c r="U298" s="12"/>
      <c r="V298" s="12" t="s">
        <v>701</v>
      </c>
      <c r="W298" s="12" t="s">
        <v>701</v>
      </c>
      <c r="X298" s="12" t="s">
        <v>701</v>
      </c>
      <c r="Y298" s="12" t="s">
        <v>701</v>
      </c>
      <c r="Z298" s="12" t="s">
        <v>701</v>
      </c>
      <c r="AA298" s="12" t="s">
        <v>701</v>
      </c>
      <c r="AB298" s="12" t="s">
        <v>701</v>
      </c>
      <c r="AC298" s="12" t="str">
        <f>IF(OR(NOT(ISBLANK(AF298)), NOT(ISBLANK(AG298)), NOT(ISBLANK(AQ298)), NOT(ISBLANK(AN298))), "x", "")</f>
        <v/>
      </c>
      <c r="AD298" s="12" t="s">
        <v>701</v>
      </c>
      <c r="AE298" s="12"/>
      <c r="AF298" s="12"/>
      <c r="AG298" s="12"/>
      <c r="AH298" s="12"/>
      <c r="AI298" s="12"/>
      <c r="AJ298" s="12"/>
      <c r="AK298" s="12"/>
      <c r="AL298" s="12"/>
      <c r="AM298" s="12" t="s">
        <v>701</v>
      </c>
      <c r="AN298" s="12"/>
      <c r="AO298" s="12"/>
      <c r="AP298" s="12"/>
      <c r="AQ298" s="12"/>
    </row>
    <row r="299" spans="1:43" ht="13.5">
      <c r="A299" s="11" t="s">
        <v>317</v>
      </c>
      <c r="B299" s="12" t="s">
        <v>589</v>
      </c>
      <c r="C299" s="12" t="s">
        <v>701</v>
      </c>
      <c r="D299" s="12"/>
      <c r="E299" s="12"/>
      <c r="F299" s="12" t="s">
        <v>701</v>
      </c>
      <c r="G299" s="12" t="s">
        <v>701</v>
      </c>
      <c r="H299" s="12" t="s">
        <v>701</v>
      </c>
      <c r="I299" s="12" t="s">
        <v>701</v>
      </c>
      <c r="J299" s="12" t="s">
        <v>701</v>
      </c>
      <c r="K299" s="12"/>
      <c r="L299" s="12"/>
      <c r="M299" s="12"/>
      <c r="N299" s="12"/>
      <c r="O299" s="12"/>
      <c r="P299" s="12"/>
      <c r="Q299" s="12" t="s">
        <v>701</v>
      </c>
      <c r="R299" s="12"/>
      <c r="S299" s="12"/>
      <c r="T299" s="12"/>
      <c r="U299" s="12"/>
      <c r="V299" s="12"/>
      <c r="W299" s="12"/>
      <c r="X299" s="12"/>
      <c r="Y299" s="12" t="s">
        <v>701</v>
      </c>
      <c r="Z299" s="12"/>
      <c r="AA299" s="12"/>
      <c r="AB299" s="12"/>
      <c r="AC299" s="12" t="str">
        <f>IF(OR(NOT(ISBLANK(AF299)), NOT(ISBLANK(AG299)), NOT(ISBLANK(AQ299)), NOT(ISBLANK(AN299))), "x", "")</f>
        <v/>
      </c>
      <c r="AD299" s="12" t="s">
        <v>701</v>
      </c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</row>
    <row r="300" spans="1:43" ht="13.5">
      <c r="A300" s="11" t="s">
        <v>318</v>
      </c>
      <c r="B300" s="12" t="s">
        <v>593</v>
      </c>
      <c r="C300" s="12" t="s">
        <v>701</v>
      </c>
      <c r="D300" s="12" t="s">
        <v>701</v>
      </c>
      <c r="E300" s="12"/>
      <c r="F300" s="12"/>
      <c r="G300" s="12"/>
      <c r="H300" s="12" t="s">
        <v>701</v>
      </c>
      <c r="I300" s="12" t="s">
        <v>701</v>
      </c>
      <c r="J300" s="12" t="s">
        <v>701</v>
      </c>
      <c r="K300" s="12"/>
      <c r="L300" s="12"/>
      <c r="M300" s="12"/>
      <c r="N300" s="12"/>
      <c r="O300" s="12" t="s">
        <v>701</v>
      </c>
      <c r="P300" s="12"/>
      <c r="Q300" s="12"/>
      <c r="R300" s="12"/>
      <c r="S300" s="12" t="s">
        <v>701</v>
      </c>
      <c r="T300" s="12"/>
      <c r="U300" s="12"/>
      <c r="V300" s="12" t="s">
        <v>701</v>
      </c>
      <c r="W300" s="12"/>
      <c r="X300" s="12" t="s">
        <v>701</v>
      </c>
      <c r="Y300" s="12" t="s">
        <v>701</v>
      </c>
      <c r="Z300" s="12"/>
      <c r="AA300" s="12"/>
      <c r="AB300" s="12" t="s">
        <v>701</v>
      </c>
      <c r="AC300" s="12" t="str" cm="1">
        <f t="array" ref="AC300">IF(OR(NOT(ISBLANK(AG3xx)), NOT(ISBLANK(AH3xx)), NOT(ISBLANK(AR3xx)), NOT(ISBLANK(AO3xx))), "x", "")</f>
        <v>x</v>
      </c>
      <c r="AD300" s="12" t="s">
        <v>701</v>
      </c>
      <c r="AE300" s="12"/>
      <c r="AF300" s="12"/>
      <c r="AG300" s="12"/>
      <c r="AH300" s="12"/>
      <c r="AI300" s="12"/>
      <c r="AJ300" s="12"/>
      <c r="AK300" s="12"/>
      <c r="AL300" s="12"/>
      <c r="AM300" s="12" t="s">
        <v>701</v>
      </c>
      <c r="AN300" s="12"/>
      <c r="AO300" s="12" t="s">
        <v>701</v>
      </c>
      <c r="AP300" s="12" t="s">
        <v>701</v>
      </c>
      <c r="AQ300" s="12"/>
    </row>
    <row r="301" spans="1:43" ht="13.5">
      <c r="A301" s="11" t="s">
        <v>319</v>
      </c>
      <c r="B301" s="12" t="s">
        <v>593</v>
      </c>
      <c r="C301" s="12" t="s">
        <v>701</v>
      </c>
      <c r="D301" s="12" t="s">
        <v>701</v>
      </c>
      <c r="E301" s="12"/>
      <c r="F301" s="12" t="s">
        <v>701</v>
      </c>
      <c r="G301" s="12"/>
      <c r="H301" s="12" t="s">
        <v>701</v>
      </c>
      <c r="I301" s="12" t="s">
        <v>701</v>
      </c>
      <c r="J301" s="12" t="s">
        <v>701</v>
      </c>
      <c r="K301" s="12"/>
      <c r="L301" s="12"/>
      <c r="M301" s="12"/>
      <c r="N301" s="12"/>
      <c r="O301" s="12" t="s">
        <v>701</v>
      </c>
      <c r="P301" s="12"/>
      <c r="Q301" s="12"/>
      <c r="R301" s="12"/>
      <c r="S301" s="12" t="s">
        <v>701</v>
      </c>
      <c r="T301" s="12"/>
      <c r="U301" s="12"/>
      <c r="V301" s="12" t="s">
        <v>701</v>
      </c>
      <c r="W301" s="12"/>
      <c r="X301" s="12" t="s">
        <v>701</v>
      </c>
      <c r="Y301" s="12" t="s">
        <v>701</v>
      </c>
      <c r="Z301" s="12" t="s">
        <v>701</v>
      </c>
      <c r="AA301" s="12" t="s">
        <v>701</v>
      </c>
      <c r="AB301" s="12"/>
      <c r="AC301" s="12" t="str" cm="1">
        <f t="array" ref="AC301">IF(OR(NOT(ISBLANK(AG3x1)), NOT(ISBLANK(AH3x1)), NOT(ISBLANK(AR3x1)), NOT(ISBLANK(AO3x1))), "x", "")</f>
        <v>x</v>
      </c>
      <c r="AD301" s="12" t="s">
        <v>701</v>
      </c>
      <c r="AE301" s="12" t="s">
        <v>701</v>
      </c>
      <c r="AF301" s="12" t="s">
        <v>701</v>
      </c>
      <c r="AG301" s="12" t="s">
        <v>701</v>
      </c>
      <c r="AH301" s="12" t="s">
        <v>701</v>
      </c>
      <c r="AI301" s="12"/>
      <c r="AJ301" s="12"/>
      <c r="AK301" s="12"/>
      <c r="AL301" s="12"/>
      <c r="AM301" s="12" t="s">
        <v>701</v>
      </c>
      <c r="AN301" s="12"/>
      <c r="AO301" s="12" t="s">
        <v>701</v>
      </c>
      <c r="AP301" s="12" t="s">
        <v>701</v>
      </c>
      <c r="AQ301" s="12" t="s">
        <v>701</v>
      </c>
    </row>
    <row r="302" spans="1:43" ht="13.5">
      <c r="A302" s="11" t="s">
        <v>320</v>
      </c>
      <c r="B302" s="12" t="s">
        <v>593</v>
      </c>
      <c r="C302" s="12" t="s">
        <v>701</v>
      </c>
      <c r="D302" s="12" t="s">
        <v>701</v>
      </c>
      <c r="E302" s="12"/>
      <c r="F302" s="12" t="s">
        <v>701</v>
      </c>
      <c r="G302" s="12"/>
      <c r="H302" s="12" t="s">
        <v>701</v>
      </c>
      <c r="I302" s="12" t="s">
        <v>701</v>
      </c>
      <c r="J302" s="12" t="s">
        <v>701</v>
      </c>
      <c r="K302" s="12"/>
      <c r="L302" s="12"/>
      <c r="M302" s="12"/>
      <c r="N302" s="12"/>
      <c r="O302" s="12" t="s">
        <v>701</v>
      </c>
      <c r="P302" s="12"/>
      <c r="Q302" s="12"/>
      <c r="R302" s="12"/>
      <c r="S302" s="12" t="s">
        <v>701</v>
      </c>
      <c r="T302" s="12"/>
      <c r="U302" s="12"/>
      <c r="V302" s="12" t="s">
        <v>701</v>
      </c>
      <c r="W302" s="12"/>
      <c r="X302" s="12" t="s">
        <v>701</v>
      </c>
      <c r="Y302" s="12" t="s">
        <v>701</v>
      </c>
      <c r="Z302" s="12" t="s">
        <v>701</v>
      </c>
      <c r="AA302" s="12" t="s">
        <v>701</v>
      </c>
      <c r="AB302" s="12"/>
      <c r="AC302" s="12" t="str" cm="1">
        <f t="array" ref="AC302">IF(OR(NOT(ISBLANK(AG3x2)), NOT(ISBLANK(AH3x2)), NOT(ISBLANK(AR3x2)), NOT(ISBLANK(AO3x2))), "x", "")</f>
        <v>x</v>
      </c>
      <c r="AD302" s="12" t="s">
        <v>701</v>
      </c>
      <c r="AE302" s="12" t="s">
        <v>701</v>
      </c>
      <c r="AF302" s="12" t="s">
        <v>701</v>
      </c>
      <c r="AG302" s="12" t="s">
        <v>701</v>
      </c>
      <c r="AH302" s="12" t="s">
        <v>701</v>
      </c>
      <c r="AI302" s="12"/>
      <c r="AJ302" s="12"/>
      <c r="AK302" s="12"/>
      <c r="AL302" s="12"/>
      <c r="AM302" s="12" t="s">
        <v>701</v>
      </c>
      <c r="AN302" s="12"/>
      <c r="AO302" s="12" t="s">
        <v>701</v>
      </c>
      <c r="AP302" s="12" t="s">
        <v>701</v>
      </c>
      <c r="AQ302" s="12" t="s">
        <v>701</v>
      </c>
    </row>
    <row r="303" spans="1:43" ht="13.5">
      <c r="A303" s="11" t="s">
        <v>321</v>
      </c>
      <c r="B303" s="12" t="s">
        <v>604</v>
      </c>
      <c r="C303" s="12"/>
      <c r="D303" s="12" t="s">
        <v>701</v>
      </c>
      <c r="E303" s="12"/>
      <c r="F303" s="12" t="s">
        <v>701</v>
      </c>
      <c r="G303" s="12" t="s">
        <v>701</v>
      </c>
      <c r="H303" s="12" t="s">
        <v>701</v>
      </c>
      <c r="I303" s="12" t="s">
        <v>701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 t="str" cm="1">
        <f t="array" ref="AC303">IF(OR(NOT(ISBLANK(AG3x3)), NOT(ISBLANK(AH3x3)), NOT(ISBLANK(AR3x3)), NOT(ISBLANK(AO3x3))), "x", "")</f>
        <v>x</v>
      </c>
      <c r="AD303" s="12" t="s">
        <v>701</v>
      </c>
      <c r="AE303" s="12"/>
      <c r="AF303" s="12" t="s">
        <v>701</v>
      </c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 spans="1:43" ht="13.5">
      <c r="A304" s="11" t="s">
        <v>322</v>
      </c>
      <c r="B304" s="12" t="s">
        <v>593</v>
      </c>
      <c r="C304" s="12" t="s">
        <v>701</v>
      </c>
      <c r="D304" s="12" t="s">
        <v>701</v>
      </c>
      <c r="E304" s="12"/>
      <c r="F304" s="12" t="s">
        <v>701</v>
      </c>
      <c r="G304" s="12"/>
      <c r="H304" s="12" t="s">
        <v>701</v>
      </c>
      <c r="I304" s="12" t="s">
        <v>701</v>
      </c>
      <c r="J304" s="12" t="s">
        <v>701</v>
      </c>
      <c r="K304" s="12"/>
      <c r="L304" s="12"/>
      <c r="M304" s="12"/>
      <c r="N304" s="12"/>
      <c r="O304" s="12" t="s">
        <v>701</v>
      </c>
      <c r="P304" s="12"/>
      <c r="Q304" s="12"/>
      <c r="R304" s="12"/>
      <c r="S304" s="12" t="s">
        <v>701</v>
      </c>
      <c r="T304" s="12"/>
      <c r="U304" s="12"/>
      <c r="V304" s="12" t="s">
        <v>701</v>
      </c>
      <c r="W304" s="12"/>
      <c r="X304" s="12" t="s">
        <v>701</v>
      </c>
      <c r="Y304" s="12" t="s">
        <v>701</v>
      </c>
      <c r="Z304" s="12" t="s">
        <v>701</v>
      </c>
      <c r="AA304" s="12" t="s">
        <v>701</v>
      </c>
      <c r="AB304" s="12"/>
      <c r="AC304" s="12" t="str" cm="1">
        <f t="array" ref="AC304">IF(OR(NOT(ISBLANK(AG3x4)), NOT(ISBLANK(AH3x4)), NOT(ISBLANK(AR3x4)), NOT(ISBLANK(AO3x4))), "x", "")</f>
        <v>x</v>
      </c>
      <c r="AD304" s="12" t="s">
        <v>701</v>
      </c>
      <c r="AE304" s="12" t="s">
        <v>701</v>
      </c>
      <c r="AF304" s="12" t="s">
        <v>701</v>
      </c>
      <c r="AG304" s="12" t="s">
        <v>701</v>
      </c>
      <c r="AH304" s="12" t="s">
        <v>701</v>
      </c>
      <c r="AI304" s="12"/>
      <c r="AJ304" s="12"/>
      <c r="AK304" s="12"/>
      <c r="AL304" s="12"/>
      <c r="AM304" s="12" t="s">
        <v>701</v>
      </c>
      <c r="AN304" s="12"/>
      <c r="AO304" s="12" t="s">
        <v>701</v>
      </c>
      <c r="AP304" s="12" t="s">
        <v>701</v>
      </c>
      <c r="AQ304" s="12" t="s">
        <v>701</v>
      </c>
    </row>
    <row r="305" spans="1:43" ht="13.5">
      <c r="A305" s="11" t="s">
        <v>323</v>
      </c>
      <c r="B305" s="12" t="s">
        <v>598</v>
      </c>
      <c r="C305" s="12" t="s">
        <v>701</v>
      </c>
      <c r="D305" s="12" t="s">
        <v>701</v>
      </c>
      <c r="E305" s="12"/>
      <c r="F305" s="12"/>
      <c r="G305" s="12"/>
      <c r="H305" s="12" t="s">
        <v>701</v>
      </c>
      <c r="I305" s="12" t="s">
        <v>701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 t="s">
        <v>701</v>
      </c>
      <c r="AA305" s="12"/>
      <c r="AB305" s="12"/>
      <c r="AC305" s="12" t="str" cm="1">
        <f t="array" ref="AC305">IF(OR(NOT(ISBLANK(AG3x5)), NOT(ISBLANK(AH3x5)), NOT(ISBLANK(AR3x5)), NOT(ISBLANK(AO3x5))), "x", "")</f>
        <v>x</v>
      </c>
      <c r="AD305" s="12" t="s">
        <v>701</v>
      </c>
      <c r="AE305" s="12"/>
      <c r="AF305" s="12"/>
      <c r="AG305" s="12"/>
      <c r="AH305" s="12"/>
      <c r="AI305" s="12"/>
      <c r="AJ305" s="12"/>
      <c r="AK305" s="12"/>
      <c r="AL305" s="12"/>
      <c r="AM305" s="12" t="s">
        <v>701</v>
      </c>
      <c r="AN305" s="12"/>
      <c r="AO305" s="12" t="s">
        <v>701</v>
      </c>
      <c r="AP305" s="12" t="s">
        <v>701</v>
      </c>
      <c r="AQ305" s="12" t="s">
        <v>701</v>
      </c>
    </row>
    <row r="306" spans="1:43" ht="13.5">
      <c r="A306" s="11" t="s">
        <v>324</v>
      </c>
      <c r="B306" s="12" t="s">
        <v>593</v>
      </c>
      <c r="C306" s="12" t="s">
        <v>701</v>
      </c>
      <c r="D306" s="12" t="s">
        <v>701</v>
      </c>
      <c r="E306" s="12"/>
      <c r="F306" s="12" t="s">
        <v>701</v>
      </c>
      <c r="G306" s="12"/>
      <c r="H306" s="12" t="s">
        <v>701</v>
      </c>
      <c r="I306" s="12" t="s">
        <v>701</v>
      </c>
      <c r="J306" s="12" t="s">
        <v>701</v>
      </c>
      <c r="K306" s="12"/>
      <c r="L306" s="12"/>
      <c r="M306" s="12"/>
      <c r="N306" s="12"/>
      <c r="O306" s="12" t="s">
        <v>701</v>
      </c>
      <c r="P306" s="12"/>
      <c r="Q306" s="12"/>
      <c r="R306" s="12"/>
      <c r="S306" s="12" t="s">
        <v>701</v>
      </c>
      <c r="T306" s="12"/>
      <c r="U306" s="12"/>
      <c r="V306" s="12" t="s">
        <v>701</v>
      </c>
      <c r="W306" s="12"/>
      <c r="X306" s="12" t="s">
        <v>701</v>
      </c>
      <c r="Y306" s="12" t="s">
        <v>701</v>
      </c>
      <c r="Z306" s="12" t="s">
        <v>701</v>
      </c>
      <c r="AA306" s="12" t="s">
        <v>701</v>
      </c>
      <c r="AB306" s="12"/>
      <c r="AC306" s="12" t="str" cm="1">
        <f t="array" ref="AC306">IF(OR(NOT(ISBLANK(AG3x6)), NOT(ISBLANK(AH3x6)), NOT(ISBLANK(AR3x6)), NOT(ISBLANK(AO3x6))), "x", "")</f>
        <v>x</v>
      </c>
      <c r="AD306" s="12" t="s">
        <v>701</v>
      </c>
      <c r="AE306" s="12" t="s">
        <v>701</v>
      </c>
      <c r="AF306" s="12" t="s">
        <v>701</v>
      </c>
      <c r="AG306" s="12" t="s">
        <v>701</v>
      </c>
      <c r="AH306" s="12" t="s">
        <v>701</v>
      </c>
      <c r="AI306" s="12"/>
      <c r="AJ306" s="12"/>
      <c r="AK306" s="12"/>
      <c r="AL306" s="12"/>
      <c r="AM306" s="12" t="s">
        <v>701</v>
      </c>
      <c r="AN306" s="12"/>
      <c r="AO306" s="12" t="s">
        <v>701</v>
      </c>
      <c r="AP306" s="12" t="s">
        <v>701</v>
      </c>
      <c r="AQ306" s="12" t="s">
        <v>701</v>
      </c>
    </row>
    <row r="307" spans="1:43" ht="13.5">
      <c r="A307" s="11" t="s">
        <v>325</v>
      </c>
      <c r="B307" s="12" t="s">
        <v>587</v>
      </c>
      <c r="C307" s="12" t="s">
        <v>701</v>
      </c>
      <c r="D307" s="12" t="s">
        <v>701</v>
      </c>
      <c r="E307" s="12"/>
      <c r="F307" s="12" t="s">
        <v>701</v>
      </c>
      <c r="G307" s="12" t="s">
        <v>701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 t="s">
        <v>701</v>
      </c>
      <c r="W307" s="12"/>
      <c r="X307" s="12"/>
      <c r="Y307" s="12"/>
      <c r="Z307" s="12"/>
      <c r="AA307" s="12"/>
      <c r="AB307" s="12"/>
      <c r="AC307" s="12" t="str" cm="1">
        <f t="array" ref="AC307">IF(OR(NOT(ISBLANK(AG3x7)), NOT(ISBLANK(AH3x7)), NOT(ISBLANK(AR3x7)), NOT(ISBLANK(AO3x7))), "x", "")</f>
        <v>x</v>
      </c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</row>
    <row r="308" spans="1:43" ht="13.5">
      <c r="A308" s="11" t="s">
        <v>326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 t="str" cm="1">
        <f t="array" ref="AC308">IF(OR(NOT(ISBLANK(AG3x8)), NOT(ISBLANK(AH3x8)), NOT(ISBLANK(AR3x8)), NOT(ISBLANK(AO3x8))), "x", "")</f>
        <v>x</v>
      </c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</row>
    <row r="309" spans="1:43" ht="13.5">
      <c r="A309" s="11" t="s">
        <v>327</v>
      </c>
      <c r="B309" s="12" t="s">
        <v>587</v>
      </c>
      <c r="C309" s="12"/>
      <c r="D309" s="12" t="s">
        <v>701</v>
      </c>
      <c r="E309" s="12"/>
      <c r="F309" s="12" t="s">
        <v>701</v>
      </c>
      <c r="G309" s="12" t="s">
        <v>701</v>
      </c>
      <c r="H309" s="12" t="s">
        <v>701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 t="s">
        <v>701</v>
      </c>
      <c r="T309" s="12"/>
      <c r="U309" s="12"/>
      <c r="V309" s="12"/>
      <c r="W309" s="12" t="s">
        <v>701</v>
      </c>
      <c r="X309" s="12"/>
      <c r="Y309" s="12"/>
      <c r="Z309" s="12"/>
      <c r="AA309" s="12"/>
      <c r="AB309" s="12"/>
      <c r="AC309" s="12" t="str" cm="1">
        <f t="array" ref="AC309">IF(OR(NOT(ISBLANK(AG3x9)), NOT(ISBLANK(AH3x9)), NOT(ISBLANK(AR3x9)), NOT(ISBLANK(AO3x9))), "x", "")</f>
        <v>x</v>
      </c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</row>
    <row r="310" spans="1:43" ht="13.5">
      <c r="A310" s="11" t="s">
        <v>328</v>
      </c>
      <c r="B310" s="12" t="s">
        <v>588</v>
      </c>
      <c r="C310" s="12" t="s">
        <v>701</v>
      </c>
      <c r="D310" s="12" t="s">
        <v>701</v>
      </c>
      <c r="E310" s="12"/>
      <c r="F310" s="12"/>
      <c r="G310" s="12" t="s">
        <v>701</v>
      </c>
      <c r="H310" s="12"/>
      <c r="I310" s="12" t="s">
        <v>701</v>
      </c>
      <c r="J310" s="12"/>
      <c r="K310" s="12"/>
      <c r="L310" s="12"/>
      <c r="M310" s="12"/>
      <c r="N310" s="12"/>
      <c r="O310" s="12" t="s">
        <v>701</v>
      </c>
      <c r="P310" s="12"/>
      <c r="Q310" s="12"/>
      <c r="R310" s="12"/>
      <c r="S310" s="12"/>
      <c r="T310" s="12"/>
      <c r="U310" s="12"/>
      <c r="V310" s="12" t="s">
        <v>701</v>
      </c>
      <c r="W310" s="12" t="s">
        <v>701</v>
      </c>
      <c r="X310" s="12" t="s">
        <v>701</v>
      </c>
      <c r="Y310" s="12" t="s">
        <v>701</v>
      </c>
      <c r="Z310" s="12" t="s">
        <v>701</v>
      </c>
      <c r="AA310" s="12" t="s">
        <v>701</v>
      </c>
      <c r="AB310" s="12" t="s">
        <v>701</v>
      </c>
      <c r="AC310" s="12" t="str" cm="1">
        <f t="array" ref="AC310">IF(OR(NOT(ISBLANK(AG31x)), NOT(ISBLANK(AH31x)), NOT(ISBLANK(AR31x)), NOT(ISBLANK(AO31x))), "x", "")</f>
        <v>x</v>
      </c>
      <c r="AD310" s="12" t="s">
        <v>701</v>
      </c>
      <c r="AE310" s="12"/>
      <c r="AF310" s="12"/>
      <c r="AG310" s="12"/>
      <c r="AH310" s="12"/>
      <c r="AI310" s="12"/>
      <c r="AJ310" s="12"/>
      <c r="AK310" s="12"/>
      <c r="AL310" s="12"/>
      <c r="AM310" s="12" t="s">
        <v>701</v>
      </c>
      <c r="AN310" s="12"/>
      <c r="AO310" s="12"/>
      <c r="AP310" s="12"/>
      <c r="AQ310" s="12"/>
    </row>
    <row r="311" spans="1:43" ht="13.5">
      <c r="A311" s="11" t="s">
        <v>329</v>
      </c>
      <c r="B311" s="12" t="s">
        <v>587</v>
      </c>
      <c r="C311" s="12" t="s">
        <v>701</v>
      </c>
      <c r="D311" s="12" t="s">
        <v>701</v>
      </c>
      <c r="E311" s="12"/>
      <c r="F311" s="12" t="s">
        <v>701</v>
      </c>
      <c r="G311" s="12" t="s">
        <v>701</v>
      </c>
      <c r="H311" s="12" t="s">
        <v>701</v>
      </c>
      <c r="I311" s="12"/>
      <c r="J311" s="12" t="s">
        <v>701</v>
      </c>
      <c r="K311" s="12"/>
      <c r="L311" s="12"/>
      <c r="M311" s="12" t="s">
        <v>701</v>
      </c>
      <c r="N311" s="12"/>
      <c r="O311" s="12" t="s">
        <v>701</v>
      </c>
      <c r="P311" s="12"/>
      <c r="Q311" s="12" t="s">
        <v>701</v>
      </c>
      <c r="R311" s="12"/>
      <c r="S311" s="12" t="s">
        <v>701</v>
      </c>
      <c r="T311" s="12"/>
      <c r="U311" s="12" t="s">
        <v>701</v>
      </c>
      <c r="V311" s="12" t="s">
        <v>701</v>
      </c>
      <c r="W311" s="12"/>
      <c r="X311" s="12"/>
      <c r="Y311" s="12" t="s">
        <v>701</v>
      </c>
      <c r="Z311" s="12" t="s">
        <v>701</v>
      </c>
      <c r="AA311" s="12" t="s">
        <v>701</v>
      </c>
      <c r="AB311" s="12"/>
      <c r="AC311" s="12" t="str">
        <f>IF(OR(NOT(ISBLANK(AF311)), NOT(ISBLANK(AG311)), NOT(ISBLANK(AQ311)), NOT(ISBLANK(AN311))), "x", "")</f>
        <v>x</v>
      </c>
      <c r="AD311" s="12" t="s">
        <v>701</v>
      </c>
      <c r="AE311" s="12" t="s">
        <v>701</v>
      </c>
      <c r="AF311" s="12" t="s">
        <v>701</v>
      </c>
      <c r="AG311" s="12" t="s">
        <v>701</v>
      </c>
      <c r="AH311" s="12"/>
      <c r="AI311" s="12"/>
      <c r="AJ311" s="12"/>
      <c r="AK311" s="12"/>
      <c r="AL311" s="12"/>
      <c r="AM311" s="12" t="s">
        <v>701</v>
      </c>
      <c r="AN311" s="12"/>
      <c r="AO311" s="12" t="s">
        <v>701</v>
      </c>
      <c r="AP311" s="12" t="s">
        <v>701</v>
      </c>
      <c r="AQ311" s="12" t="s">
        <v>701</v>
      </c>
    </row>
    <row r="312" spans="1:43" ht="13.5">
      <c r="A312" s="11" t="s">
        <v>330</v>
      </c>
      <c r="B312" s="12" t="s">
        <v>595</v>
      </c>
      <c r="C312" s="12" t="s">
        <v>701</v>
      </c>
      <c r="D312" s="12" t="s">
        <v>701</v>
      </c>
      <c r="E312" s="12"/>
      <c r="F312" s="12" t="s">
        <v>701</v>
      </c>
      <c r="G312" s="12"/>
      <c r="H312" s="12" t="s">
        <v>701</v>
      </c>
      <c r="I312" s="12" t="s">
        <v>701</v>
      </c>
      <c r="J312" s="12" t="s">
        <v>701</v>
      </c>
      <c r="K312" s="12"/>
      <c r="L312" s="12"/>
      <c r="M312" s="12" t="s">
        <v>701</v>
      </c>
      <c r="N312" s="12"/>
      <c r="O312" s="12" t="s">
        <v>701</v>
      </c>
      <c r="P312" s="12"/>
      <c r="Q312" s="12"/>
      <c r="R312" s="12"/>
      <c r="S312" s="12" t="s">
        <v>701</v>
      </c>
      <c r="T312" s="12"/>
      <c r="U312" s="12"/>
      <c r="V312" s="12" t="s">
        <v>701</v>
      </c>
      <c r="W312" s="12"/>
      <c r="X312" s="12" t="s">
        <v>701</v>
      </c>
      <c r="Y312" s="12" t="s">
        <v>701</v>
      </c>
      <c r="Z312" s="12" t="s">
        <v>701</v>
      </c>
      <c r="AA312" s="12" t="s">
        <v>701</v>
      </c>
      <c r="AB312" s="12"/>
      <c r="AC312" s="12" t="str">
        <f>IF(OR(NOT(ISBLANK(AF312)), NOT(ISBLANK(AG312)), NOT(ISBLANK(AQ312)), NOT(ISBLANK(AN312))), "x", "")</f>
        <v>x</v>
      </c>
      <c r="AD312" s="12" t="s">
        <v>701</v>
      </c>
      <c r="AE312" s="12" t="s">
        <v>701</v>
      </c>
      <c r="AF312" s="12" t="s">
        <v>701</v>
      </c>
      <c r="AG312" s="12" t="s">
        <v>701</v>
      </c>
      <c r="AH312" s="12" t="s">
        <v>701</v>
      </c>
      <c r="AI312" s="12"/>
      <c r="AJ312" s="12"/>
      <c r="AK312" s="12"/>
      <c r="AL312" s="12"/>
      <c r="AM312" s="12" t="s">
        <v>701</v>
      </c>
      <c r="AN312" s="12"/>
      <c r="AO312" s="12" t="s">
        <v>701</v>
      </c>
      <c r="AP312" s="12" t="s">
        <v>701</v>
      </c>
      <c r="AQ312" s="12" t="s">
        <v>701</v>
      </c>
    </row>
    <row r="313" spans="1:43" ht="13.5">
      <c r="A313" s="11" t="s">
        <v>331</v>
      </c>
      <c r="B313" s="12" t="s">
        <v>595</v>
      </c>
      <c r="C313" s="12" t="s">
        <v>701</v>
      </c>
      <c r="D313" s="12" t="s">
        <v>701</v>
      </c>
      <c r="E313" s="12"/>
      <c r="F313" s="12" t="s">
        <v>701</v>
      </c>
      <c r="G313" s="12"/>
      <c r="H313" s="12" t="s">
        <v>701</v>
      </c>
      <c r="I313" s="12" t="s">
        <v>701</v>
      </c>
      <c r="J313" s="12" t="s">
        <v>701</v>
      </c>
      <c r="K313" s="12" t="s">
        <v>701</v>
      </c>
      <c r="L313" s="12"/>
      <c r="M313" s="12" t="s">
        <v>701</v>
      </c>
      <c r="N313" s="12"/>
      <c r="O313" s="12" t="s">
        <v>701</v>
      </c>
      <c r="P313" s="12"/>
      <c r="Q313" s="12"/>
      <c r="R313" s="12"/>
      <c r="S313" s="12" t="s">
        <v>701</v>
      </c>
      <c r="T313" s="12"/>
      <c r="U313" s="12"/>
      <c r="V313" s="12" t="s">
        <v>701</v>
      </c>
      <c r="W313" s="12"/>
      <c r="X313" s="12" t="s">
        <v>701</v>
      </c>
      <c r="Y313" s="12" t="s">
        <v>701</v>
      </c>
      <c r="Z313" s="12" t="s">
        <v>701</v>
      </c>
      <c r="AA313" s="12" t="s">
        <v>701</v>
      </c>
      <c r="AB313" s="12"/>
      <c r="AC313" s="12" t="str">
        <f>IF(OR(NOT(ISBLANK(AF313)), NOT(ISBLANK(AG313)), NOT(ISBLANK(AQ313)), NOT(ISBLANK(AN313))), "x", "")</f>
        <v>x</v>
      </c>
      <c r="AD313" s="12" t="s">
        <v>701</v>
      </c>
      <c r="AE313" s="12" t="s">
        <v>701</v>
      </c>
      <c r="AF313" s="12" t="s">
        <v>701</v>
      </c>
      <c r="AG313" s="12" t="s">
        <v>701</v>
      </c>
      <c r="AH313" s="12" t="s">
        <v>701</v>
      </c>
      <c r="AI313" s="12"/>
      <c r="AJ313" s="12"/>
      <c r="AK313" s="12"/>
      <c r="AL313" s="12"/>
      <c r="AM313" s="12" t="s">
        <v>701</v>
      </c>
      <c r="AN313" s="12"/>
      <c r="AO313" s="12" t="s">
        <v>701</v>
      </c>
      <c r="AP313" s="12" t="s">
        <v>701</v>
      </c>
      <c r="AQ313" s="12" t="s">
        <v>701</v>
      </c>
    </row>
    <row r="314" spans="1:43" ht="13.5">
      <c r="A314" s="11" t="s">
        <v>332</v>
      </c>
      <c r="B314" s="12" t="s">
        <v>595</v>
      </c>
      <c r="C314" s="12" t="s">
        <v>701</v>
      </c>
      <c r="D314" s="12" t="s">
        <v>701</v>
      </c>
      <c r="E314" s="12"/>
      <c r="F314" s="12" t="s">
        <v>701</v>
      </c>
      <c r="G314" s="12"/>
      <c r="H314" s="12" t="s">
        <v>701</v>
      </c>
      <c r="I314" s="12" t="s">
        <v>701</v>
      </c>
      <c r="J314" s="12" t="s">
        <v>701</v>
      </c>
      <c r="K314" s="12"/>
      <c r="L314" s="12"/>
      <c r="M314" s="12" t="s">
        <v>701</v>
      </c>
      <c r="N314" s="12"/>
      <c r="O314" s="12" t="s">
        <v>701</v>
      </c>
      <c r="P314" s="12"/>
      <c r="Q314" s="12"/>
      <c r="R314" s="12"/>
      <c r="S314" s="12" t="s">
        <v>701</v>
      </c>
      <c r="T314" s="12" t="s">
        <v>701</v>
      </c>
      <c r="U314" s="12"/>
      <c r="V314" s="12" t="s">
        <v>701</v>
      </c>
      <c r="W314" s="12"/>
      <c r="X314" s="12" t="s">
        <v>701</v>
      </c>
      <c r="Y314" s="12" t="s">
        <v>701</v>
      </c>
      <c r="Z314" s="12" t="s">
        <v>701</v>
      </c>
      <c r="AA314" s="12" t="s">
        <v>701</v>
      </c>
      <c r="AB314" s="12"/>
      <c r="AC314" s="12" t="str">
        <f>IF(OR(NOT(ISBLANK(AF314)), NOT(ISBLANK(AG314)), NOT(ISBLANK(AQ314)), NOT(ISBLANK(AN314))), "x", "")</f>
        <v>x</v>
      </c>
      <c r="AD314" s="12" t="s">
        <v>701</v>
      </c>
      <c r="AE314" s="12" t="s">
        <v>701</v>
      </c>
      <c r="AF314" s="12" t="s">
        <v>701</v>
      </c>
      <c r="AG314" s="12" t="s">
        <v>701</v>
      </c>
      <c r="AH314" s="12" t="s">
        <v>701</v>
      </c>
      <c r="AI314" s="12"/>
      <c r="AJ314" s="12"/>
      <c r="AK314" s="12"/>
      <c r="AL314" s="12"/>
      <c r="AM314" s="12" t="s">
        <v>701</v>
      </c>
      <c r="AN314" s="12"/>
      <c r="AO314" s="12" t="s">
        <v>701</v>
      </c>
      <c r="AP314" s="12" t="s">
        <v>701</v>
      </c>
      <c r="AQ314" s="12" t="s">
        <v>701</v>
      </c>
    </row>
    <row r="315" spans="1:43" ht="13.5">
      <c r="A315" s="11" t="s">
        <v>333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 t="str">
        <f>IF(OR(NOT(ISBLANK(AF315)), NOT(ISBLANK(AG315)), NOT(ISBLANK(AQ315)), NOT(ISBLANK(AN315))), "x", "")</f>
        <v/>
      </c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 spans="1:43" ht="13.5">
      <c r="A316" s="11" t="s">
        <v>334</v>
      </c>
      <c r="B316" s="12" t="s">
        <v>587</v>
      </c>
      <c r="C316" s="12"/>
      <c r="D316" s="12" t="s">
        <v>701</v>
      </c>
      <c r="E316" s="12"/>
      <c r="F316" s="12" t="s">
        <v>701</v>
      </c>
      <c r="G316" s="12" t="s">
        <v>701</v>
      </c>
      <c r="H316" s="12" t="s">
        <v>701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 t="s">
        <v>701</v>
      </c>
      <c r="T316" s="12"/>
      <c r="U316" s="12"/>
      <c r="V316" s="12"/>
      <c r="W316" s="12" t="s">
        <v>701</v>
      </c>
      <c r="X316" s="12"/>
      <c r="Y316" s="12"/>
      <c r="Z316" s="12"/>
      <c r="AA316" s="12"/>
      <c r="AB316" s="12"/>
      <c r="AC316" s="12" t="str">
        <f>IF(OR(NOT(ISBLANK(AF316)), NOT(ISBLANK(AG316)), NOT(ISBLANK(AQ316)), NOT(ISBLANK(AN316))), "x", "")</f>
        <v/>
      </c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 spans="1:43" ht="13.5">
      <c r="A317" s="11" t="s">
        <v>335</v>
      </c>
      <c r="B317" s="12" t="s">
        <v>588</v>
      </c>
      <c r="C317" s="12" t="s">
        <v>701</v>
      </c>
      <c r="D317" s="12" t="s">
        <v>701</v>
      </c>
      <c r="E317" s="12"/>
      <c r="F317" s="12"/>
      <c r="G317" s="12" t="s">
        <v>701</v>
      </c>
      <c r="H317" s="12"/>
      <c r="I317" s="12" t="s">
        <v>701</v>
      </c>
      <c r="J317" s="12"/>
      <c r="K317" s="12"/>
      <c r="L317" s="12"/>
      <c r="M317" s="12"/>
      <c r="N317" s="12"/>
      <c r="O317" s="12" t="s">
        <v>701</v>
      </c>
      <c r="P317" s="12"/>
      <c r="Q317" s="12"/>
      <c r="R317" s="12"/>
      <c r="S317" s="12"/>
      <c r="T317" s="12"/>
      <c r="U317" s="12"/>
      <c r="V317" s="12" t="s">
        <v>701</v>
      </c>
      <c r="W317" s="12" t="s">
        <v>701</v>
      </c>
      <c r="X317" s="12" t="s">
        <v>701</v>
      </c>
      <c r="Y317" s="12" t="s">
        <v>701</v>
      </c>
      <c r="Z317" s="12" t="s">
        <v>701</v>
      </c>
      <c r="AA317" s="12" t="s">
        <v>701</v>
      </c>
      <c r="AB317" s="12" t="s">
        <v>701</v>
      </c>
      <c r="AC317" s="12" t="str">
        <f>IF(OR(NOT(ISBLANK(AF317)), NOT(ISBLANK(AG317)), NOT(ISBLANK(AQ317)), NOT(ISBLANK(AN317))), "x", "")</f>
        <v/>
      </c>
      <c r="AD317" s="12" t="s">
        <v>701</v>
      </c>
      <c r="AE317" s="12"/>
      <c r="AF317" s="12"/>
      <c r="AG317" s="12"/>
      <c r="AH317" s="12"/>
      <c r="AI317" s="12"/>
      <c r="AJ317" s="12"/>
      <c r="AK317" s="12"/>
      <c r="AL317" s="12"/>
      <c r="AM317" s="12" t="s">
        <v>701</v>
      </c>
      <c r="AN317" s="12"/>
      <c r="AO317" s="12"/>
      <c r="AP317" s="12"/>
      <c r="AQ317" s="12"/>
    </row>
    <row r="318" spans="1:43" ht="13.5">
      <c r="A318" s="11" t="s">
        <v>336</v>
      </c>
      <c r="B318" s="12" t="s">
        <v>588</v>
      </c>
      <c r="C318" s="12" t="s">
        <v>701</v>
      </c>
      <c r="D318" s="12" t="s">
        <v>701</v>
      </c>
      <c r="E318" s="12"/>
      <c r="F318" s="12" t="s">
        <v>701</v>
      </c>
      <c r="G318" s="12" t="s">
        <v>701</v>
      </c>
      <c r="H318" s="12" t="s">
        <v>701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 t="str">
        <f>IF(OR(NOT(ISBLANK(AF318)), NOT(ISBLANK(AG318)), NOT(ISBLANK(AQ318)), NOT(ISBLANK(AN318))), "x", "")</f>
        <v/>
      </c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 spans="1:43" ht="13.5">
      <c r="A319" s="11" t="s">
        <v>337</v>
      </c>
      <c r="B319" s="12" t="s">
        <v>588</v>
      </c>
      <c r="C319" s="12" t="s">
        <v>701</v>
      </c>
      <c r="D319" s="12" t="s">
        <v>701</v>
      </c>
      <c r="E319" s="12"/>
      <c r="F319" s="12" t="s">
        <v>701</v>
      </c>
      <c r="G319" s="12" t="s">
        <v>701</v>
      </c>
      <c r="H319" s="12" t="s">
        <v>701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 t="s">
        <v>701</v>
      </c>
      <c r="W319" s="12"/>
      <c r="X319" s="12"/>
      <c r="Y319" s="12"/>
      <c r="Z319" s="12"/>
      <c r="AA319" s="12"/>
      <c r="AB319" s="12"/>
      <c r="AC319" s="12" t="str">
        <f>IF(OR(NOT(ISBLANK(AF319)), NOT(ISBLANK(AG319)), NOT(ISBLANK(AQ319)), NOT(ISBLANK(AN319))), "x", "")</f>
        <v/>
      </c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 spans="1:43" ht="13.5">
      <c r="A320" s="11" t="s">
        <v>338</v>
      </c>
      <c r="B320" s="12" t="s">
        <v>592</v>
      </c>
      <c r="C320" s="12" t="s">
        <v>701</v>
      </c>
      <c r="D320" s="12" t="s">
        <v>701</v>
      </c>
      <c r="E320" s="12"/>
      <c r="F320" s="12" t="s">
        <v>701</v>
      </c>
      <c r="G320" s="12" t="s">
        <v>701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 t="str" cm="1">
        <f t="array" ref="AC320">IF(OR(NOT(ISBLANK(AG32x)), NOT(ISBLANK(AH32x)), NOT(ISBLANK(AR32x)), NOT(ISBLANK(AO32x))), "x", "")</f>
        <v>x</v>
      </c>
      <c r="AD320" s="12" t="s">
        <v>701</v>
      </c>
      <c r="AE320" s="12"/>
      <c r="AF320" s="12"/>
      <c r="AG320" s="12" t="s">
        <v>701</v>
      </c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 spans="1:43" ht="13.5">
      <c r="A321" s="11" t="s">
        <v>339</v>
      </c>
      <c r="B321" s="12" t="s">
        <v>593</v>
      </c>
      <c r="C321" s="12" t="s">
        <v>701</v>
      </c>
      <c r="D321" s="12" t="s">
        <v>701</v>
      </c>
      <c r="E321" s="12"/>
      <c r="F321" s="12"/>
      <c r="G321" s="12" t="s">
        <v>701</v>
      </c>
      <c r="H321" s="12" t="s">
        <v>701</v>
      </c>
      <c r="I321" s="12"/>
      <c r="J321" s="12" t="s">
        <v>701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 t="s">
        <v>701</v>
      </c>
      <c r="AB321" s="12" t="s">
        <v>701</v>
      </c>
      <c r="AC321" s="12" t="str">
        <f>IF(OR(NOT(ISBLANK(AF321)), NOT(ISBLANK(AG321)), NOT(ISBLANK(AQ321)), NOT(ISBLANK(AN321))), "x", "")</f>
        <v>x</v>
      </c>
      <c r="AD321" s="12" t="s">
        <v>701</v>
      </c>
      <c r="AE321" s="12"/>
      <c r="AF321" s="12" t="s">
        <v>701</v>
      </c>
      <c r="AG321" s="12"/>
      <c r="AH321" s="12"/>
      <c r="AI321" s="12"/>
      <c r="AJ321" s="12"/>
      <c r="AK321" s="12"/>
      <c r="AL321" s="12"/>
      <c r="AM321" s="12" t="s">
        <v>701</v>
      </c>
      <c r="AN321" s="12"/>
      <c r="AO321" s="12" t="s">
        <v>701</v>
      </c>
      <c r="AP321" s="12" t="s">
        <v>701</v>
      </c>
      <c r="AQ321" s="12"/>
    </row>
    <row r="322" spans="1:43" ht="13.5">
      <c r="A322" s="11" t="s">
        <v>340</v>
      </c>
      <c r="B322" s="12" t="s">
        <v>598</v>
      </c>
      <c r="C322" s="12" t="s">
        <v>701</v>
      </c>
      <c r="D322" s="12" t="s">
        <v>701</v>
      </c>
      <c r="E322" s="12"/>
      <c r="F322" s="12"/>
      <c r="G322" s="12" t="s">
        <v>701</v>
      </c>
      <c r="H322" s="12" t="s">
        <v>701</v>
      </c>
      <c r="I322" s="12" t="s">
        <v>701</v>
      </c>
      <c r="J322" s="12"/>
      <c r="K322" s="12"/>
      <c r="L322" s="12"/>
      <c r="M322" s="12"/>
      <c r="N322" s="12"/>
      <c r="O322" s="12" t="s">
        <v>701</v>
      </c>
      <c r="P322" s="12"/>
      <c r="Q322" s="12"/>
      <c r="R322" s="12"/>
      <c r="S322" s="12"/>
      <c r="T322" s="12"/>
      <c r="U322" s="12"/>
      <c r="V322" s="12" t="s">
        <v>701</v>
      </c>
      <c r="W322" s="12"/>
      <c r="X322" s="12" t="s">
        <v>701</v>
      </c>
      <c r="Y322" s="12" t="s">
        <v>701</v>
      </c>
      <c r="Z322" s="12" t="s">
        <v>701</v>
      </c>
      <c r="AA322" s="12" t="s">
        <v>701</v>
      </c>
      <c r="AB322" s="12" t="s">
        <v>701</v>
      </c>
      <c r="AC322" s="12" t="str">
        <f>IF(OR(NOT(ISBLANK(AF322)), NOT(ISBLANK(AG322)), NOT(ISBLANK(AQ322)), NOT(ISBLANK(AN322))), "x", "")</f>
        <v/>
      </c>
      <c r="AD322" s="12" t="s">
        <v>701</v>
      </c>
      <c r="AE322" s="12"/>
      <c r="AF322" s="12"/>
      <c r="AG322" s="12"/>
      <c r="AH322" s="12"/>
      <c r="AI322" s="12"/>
      <c r="AJ322" s="12"/>
      <c r="AK322" s="12"/>
      <c r="AL322" s="12"/>
      <c r="AM322" s="12" t="s">
        <v>701</v>
      </c>
      <c r="AN322" s="12"/>
      <c r="AO322" s="12"/>
      <c r="AP322" s="12"/>
      <c r="AQ322" s="12"/>
    </row>
    <row r="323" spans="1:43" ht="13.5">
      <c r="A323" s="11" t="s">
        <v>341</v>
      </c>
      <c r="B323" s="12" t="s">
        <v>593</v>
      </c>
      <c r="C323" s="12" t="s">
        <v>701</v>
      </c>
      <c r="D323" s="12" t="s">
        <v>701</v>
      </c>
      <c r="E323" s="12"/>
      <c r="F323" s="12"/>
      <c r="G323" s="12"/>
      <c r="H323" s="12" t="s">
        <v>701</v>
      </c>
      <c r="I323" s="12" t="s">
        <v>701</v>
      </c>
      <c r="J323" s="12" t="s">
        <v>701</v>
      </c>
      <c r="K323" s="12"/>
      <c r="L323" s="12"/>
      <c r="M323" s="12"/>
      <c r="N323" s="12"/>
      <c r="O323" s="12" t="s">
        <v>701</v>
      </c>
      <c r="P323" s="12"/>
      <c r="Q323" s="12"/>
      <c r="R323" s="12"/>
      <c r="S323" s="12" t="s">
        <v>701</v>
      </c>
      <c r="T323" s="12"/>
      <c r="U323" s="12" t="s">
        <v>701</v>
      </c>
      <c r="V323" s="12" t="s">
        <v>701</v>
      </c>
      <c r="W323" s="12"/>
      <c r="X323" s="12"/>
      <c r="Y323" s="12" t="s">
        <v>701</v>
      </c>
      <c r="Z323" s="12" t="s">
        <v>701</v>
      </c>
      <c r="AA323" s="12" t="s">
        <v>701</v>
      </c>
      <c r="AB323" s="12"/>
      <c r="AC323" s="12" t="str">
        <f>IF(OR(NOT(ISBLANK(AF323)), NOT(ISBLANK(AG323)), NOT(ISBLANK(AQ323)), NOT(ISBLANK(AN323))), "x", "")</f>
        <v>x</v>
      </c>
      <c r="AD323" s="12" t="s">
        <v>701</v>
      </c>
      <c r="AE323" s="12"/>
      <c r="AF323" s="12" t="s">
        <v>701</v>
      </c>
      <c r="AG323" s="12"/>
      <c r="AH323" s="12"/>
      <c r="AI323" s="12"/>
      <c r="AJ323" s="12"/>
      <c r="AK323" s="12"/>
      <c r="AL323" s="12"/>
      <c r="AM323" s="12" t="s">
        <v>701</v>
      </c>
      <c r="AN323" s="12"/>
      <c r="AO323" s="12" t="s">
        <v>701</v>
      </c>
      <c r="AP323" s="12"/>
      <c r="AQ323" s="12"/>
    </row>
    <row r="324" spans="1:43" ht="13.5">
      <c r="A324" s="11" t="s">
        <v>342</v>
      </c>
      <c r="B324" s="12" t="s">
        <v>588</v>
      </c>
      <c r="C324" s="12" t="s">
        <v>701</v>
      </c>
      <c r="D324" s="12" t="s">
        <v>701</v>
      </c>
      <c r="E324" s="12"/>
      <c r="F324" s="12"/>
      <c r="G324" s="12" t="s">
        <v>701</v>
      </c>
      <c r="H324" s="12" t="s">
        <v>701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 t="s">
        <v>701</v>
      </c>
      <c r="S324" s="12"/>
      <c r="T324" s="12"/>
      <c r="U324" s="12" t="s">
        <v>701</v>
      </c>
      <c r="V324" s="12"/>
      <c r="W324" s="12"/>
      <c r="X324" s="12" t="s">
        <v>701</v>
      </c>
      <c r="Y324" s="12"/>
      <c r="Z324" s="12" t="s">
        <v>701</v>
      </c>
      <c r="AA324" s="12"/>
      <c r="AB324" s="12"/>
      <c r="AC324" s="12" t="str">
        <f>IF(OR(NOT(ISBLANK(AF324)), NOT(ISBLANK(AG324)), NOT(ISBLANK(AQ324)), NOT(ISBLANK(AN324))), "x", "")</f>
        <v/>
      </c>
      <c r="AD324" s="12" t="s">
        <v>701</v>
      </c>
      <c r="AE324" s="12"/>
      <c r="AF324" s="12"/>
      <c r="AG324" s="12"/>
      <c r="AH324" s="12" t="s">
        <v>701</v>
      </c>
      <c r="AI324" s="12"/>
      <c r="AJ324" s="12"/>
      <c r="AK324" s="12"/>
      <c r="AL324" s="12"/>
      <c r="AM324" s="12"/>
      <c r="AN324" s="12"/>
      <c r="AO324" s="12"/>
      <c r="AP324" s="12"/>
      <c r="AQ324" s="12"/>
    </row>
    <row r="325" spans="1:43" ht="13.5">
      <c r="A325" s="11" t="s">
        <v>343</v>
      </c>
      <c r="B325" s="12" t="s">
        <v>598</v>
      </c>
      <c r="C325" s="12" t="s">
        <v>701</v>
      </c>
      <c r="D325" s="12" t="s">
        <v>701</v>
      </c>
      <c r="E325" s="12"/>
      <c r="F325" s="12" t="s">
        <v>701</v>
      </c>
      <c r="G325" s="12"/>
      <c r="H325" s="12" t="s">
        <v>701</v>
      </c>
      <c r="I325" s="12"/>
      <c r="J325" s="12"/>
      <c r="K325" s="12"/>
      <c r="L325" s="12"/>
      <c r="M325" s="12" t="s">
        <v>701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 t="s">
        <v>701</v>
      </c>
      <c r="X325" s="12"/>
      <c r="Y325" s="12"/>
      <c r="Z325" s="12"/>
      <c r="AA325" s="12" t="s">
        <v>701</v>
      </c>
      <c r="AB325" s="12"/>
      <c r="AC325" s="12" t="str">
        <f>IF(OR(NOT(ISBLANK(AF325)), NOT(ISBLANK(AG325)), NOT(ISBLANK(AQ325)), NOT(ISBLANK(AN325))), "x", "")</f>
        <v/>
      </c>
      <c r="AD325" s="12" t="s">
        <v>701</v>
      </c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</row>
    <row r="326" spans="1:43" ht="13.5">
      <c r="A326" s="11" t="s">
        <v>344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 t="str">
        <f>IF(OR(NOT(ISBLANK(AF326)), NOT(ISBLANK(AG326)), NOT(ISBLANK(AQ326)), NOT(ISBLANK(AN326))), "x", "")</f>
        <v/>
      </c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 spans="1:43" ht="13.5">
      <c r="A327" s="11" t="s">
        <v>345</v>
      </c>
      <c r="B327" s="12" t="s">
        <v>587</v>
      </c>
      <c r="C327" s="12"/>
      <c r="D327" s="12" t="s">
        <v>701</v>
      </c>
      <c r="E327" s="12"/>
      <c r="F327" s="12" t="s">
        <v>701</v>
      </c>
      <c r="G327" s="12" t="s">
        <v>701</v>
      </c>
      <c r="H327" s="12" t="s">
        <v>701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 t="s">
        <v>701</v>
      </c>
      <c r="T327" s="12"/>
      <c r="U327" s="12"/>
      <c r="V327" s="12"/>
      <c r="W327" s="12" t="s">
        <v>701</v>
      </c>
      <c r="X327" s="12"/>
      <c r="Y327" s="12"/>
      <c r="Z327" s="12"/>
      <c r="AA327" s="12"/>
      <c r="AB327" s="12"/>
      <c r="AC327" s="12" t="str">
        <f>IF(OR(NOT(ISBLANK(AF327)), NOT(ISBLANK(AG327)), NOT(ISBLANK(AQ327)), NOT(ISBLANK(AN327))), "x", "")</f>
        <v/>
      </c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</row>
    <row r="328" spans="1:43" ht="13.5">
      <c r="A328" s="11" t="s">
        <v>346</v>
      </c>
      <c r="B328" s="12" t="s">
        <v>589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 t="str">
        <f>IF(OR(NOT(ISBLANK(AF328)), NOT(ISBLANK(AG328)), NOT(ISBLANK(AQ328)), NOT(ISBLANK(AN328))), "x", "")</f>
        <v/>
      </c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</row>
    <row r="329" spans="1:43" ht="13.5">
      <c r="A329" s="11" t="s">
        <v>347</v>
      </c>
      <c r="B329" s="12" t="s">
        <v>595</v>
      </c>
      <c r="C329" s="12" t="s">
        <v>701</v>
      </c>
      <c r="D329" s="12"/>
      <c r="E329" s="12"/>
      <c r="F329" s="12" t="s">
        <v>701</v>
      </c>
      <c r="G329" s="12" t="s">
        <v>701</v>
      </c>
      <c r="H329" s="12"/>
      <c r="I329" s="12"/>
      <c r="J329" s="12"/>
      <c r="K329" s="12"/>
      <c r="L329" s="12"/>
      <c r="M329" s="12"/>
      <c r="N329" s="12"/>
      <c r="O329" s="12" t="s">
        <v>701</v>
      </c>
      <c r="P329" s="12"/>
      <c r="Q329" s="12" t="s">
        <v>701</v>
      </c>
      <c r="R329" s="12" t="s">
        <v>701</v>
      </c>
      <c r="S329" s="12" t="s">
        <v>701</v>
      </c>
      <c r="T329" s="12"/>
      <c r="U329" s="12"/>
      <c r="V329" s="12"/>
      <c r="W329" s="12" t="s">
        <v>701</v>
      </c>
      <c r="X329" s="12"/>
      <c r="Y329" s="12"/>
      <c r="Z329" s="12"/>
      <c r="AA329" s="12"/>
      <c r="AB329" s="12"/>
      <c r="AC329" s="12" t="str">
        <f>IF(OR(NOT(ISBLANK(AF329)), NOT(ISBLANK(AG329)), NOT(ISBLANK(AQ329)), NOT(ISBLANK(AN329))), "x", "")</f>
        <v/>
      </c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</row>
    <row r="330" spans="1:43" ht="13.5">
      <c r="A330" s="11" t="s">
        <v>348</v>
      </c>
      <c r="B330" s="12" t="s">
        <v>588</v>
      </c>
      <c r="C330" s="12" t="s">
        <v>701</v>
      </c>
      <c r="D330" s="12"/>
      <c r="E330" s="12"/>
      <c r="F330" s="12" t="s">
        <v>701</v>
      </c>
      <c r="G330" s="12" t="s">
        <v>701</v>
      </c>
      <c r="H330" s="12"/>
      <c r="I330" s="12" t="s">
        <v>701</v>
      </c>
      <c r="J330" s="12"/>
      <c r="K330" s="12"/>
      <c r="L330" s="12"/>
      <c r="M330" s="12"/>
      <c r="N330" s="12"/>
      <c r="O330" s="12" t="s">
        <v>701</v>
      </c>
      <c r="P330" s="12"/>
      <c r="Q330" s="12" t="s">
        <v>701</v>
      </c>
      <c r="R330" s="12" t="s">
        <v>701</v>
      </c>
      <c r="S330" s="12" t="s">
        <v>701</v>
      </c>
      <c r="T330" s="12"/>
      <c r="U330" s="12"/>
      <c r="V330" s="12"/>
      <c r="W330" s="12" t="s">
        <v>701</v>
      </c>
      <c r="X330" s="12"/>
      <c r="Y330" s="12"/>
      <c r="Z330" s="12"/>
      <c r="AA330" s="12"/>
      <c r="AB330" s="12"/>
      <c r="AC330" s="12" t="str" cm="1">
        <f t="array" ref="AC330">IF(OR(NOT(ISBLANK(AG33x)), NOT(ISBLANK(AH33x)), NOT(ISBLANK(AR33x)), NOT(ISBLANK(AO33x))), "x", "")</f>
        <v>x</v>
      </c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 spans="1:43" ht="13.5">
      <c r="A331" s="11" t="s">
        <v>349</v>
      </c>
      <c r="B331" s="12" t="s">
        <v>595</v>
      </c>
      <c r="C331" s="12" t="s">
        <v>701</v>
      </c>
      <c r="D331" s="12"/>
      <c r="E331" s="12"/>
      <c r="F331" s="12" t="s">
        <v>701</v>
      </c>
      <c r="G331" s="12" t="s">
        <v>701</v>
      </c>
      <c r="H331" s="12"/>
      <c r="I331" s="12"/>
      <c r="J331" s="12"/>
      <c r="K331" s="12"/>
      <c r="L331" s="12"/>
      <c r="M331" s="12"/>
      <c r="N331" s="12"/>
      <c r="O331" s="12" t="s">
        <v>701</v>
      </c>
      <c r="P331" s="12"/>
      <c r="Q331" s="12" t="s">
        <v>701</v>
      </c>
      <c r="R331" s="12" t="s">
        <v>701</v>
      </c>
      <c r="S331" s="12" t="s">
        <v>701</v>
      </c>
      <c r="T331" s="12"/>
      <c r="U331" s="12"/>
      <c r="V331" s="12"/>
      <c r="W331" s="12" t="s">
        <v>701</v>
      </c>
      <c r="X331" s="12"/>
      <c r="Y331" s="12"/>
      <c r="Z331" s="12"/>
      <c r="AA331" s="12"/>
      <c r="AB331" s="12"/>
      <c r="AC331" s="12" t="str">
        <f>IF(OR(NOT(ISBLANK(AF331)), NOT(ISBLANK(AG331)), NOT(ISBLANK(AQ331)), NOT(ISBLANK(AN331))), "x", "")</f>
        <v/>
      </c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 spans="1:43" ht="13.5">
      <c r="A332" s="11" t="s">
        <v>350</v>
      </c>
      <c r="B332" s="12" t="s">
        <v>588</v>
      </c>
      <c r="C332" s="12" t="s">
        <v>701</v>
      </c>
      <c r="D332" s="12"/>
      <c r="E332" s="12"/>
      <c r="F332" s="12" t="s">
        <v>701</v>
      </c>
      <c r="G332" s="12" t="s">
        <v>701</v>
      </c>
      <c r="H332" s="12"/>
      <c r="I332" s="12"/>
      <c r="J332" s="12"/>
      <c r="K332" s="12"/>
      <c r="L332" s="12"/>
      <c r="M332" s="12"/>
      <c r="N332" s="12"/>
      <c r="O332" s="12" t="s">
        <v>701</v>
      </c>
      <c r="P332" s="12"/>
      <c r="Q332" s="12" t="s">
        <v>701</v>
      </c>
      <c r="R332" s="12" t="s">
        <v>701</v>
      </c>
      <c r="S332" s="12" t="s">
        <v>701</v>
      </c>
      <c r="T332" s="12"/>
      <c r="U332" s="12"/>
      <c r="V332" s="12"/>
      <c r="W332" s="12" t="s">
        <v>701</v>
      </c>
      <c r="X332" s="12"/>
      <c r="Y332" s="12"/>
      <c r="Z332" s="12"/>
      <c r="AA332" s="12"/>
      <c r="AB332" s="12"/>
      <c r="AC332" s="12" t="str">
        <f>IF(OR(NOT(ISBLANK(AF332)), NOT(ISBLANK(AG332)), NOT(ISBLANK(AQ332)), NOT(ISBLANK(AN332))), "x", "")</f>
        <v/>
      </c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 spans="1:43" ht="13.5">
      <c r="A333" s="11" t="s">
        <v>351</v>
      </c>
      <c r="B333" s="12" t="s">
        <v>588</v>
      </c>
      <c r="C333" s="12" t="s">
        <v>701</v>
      </c>
      <c r="D333" s="12"/>
      <c r="E333" s="12"/>
      <c r="F333" s="12" t="s">
        <v>701</v>
      </c>
      <c r="G333" s="12" t="s">
        <v>701</v>
      </c>
      <c r="H333" s="12"/>
      <c r="I333" s="12"/>
      <c r="J333" s="12"/>
      <c r="K333" s="12"/>
      <c r="L333" s="12"/>
      <c r="M333" s="12"/>
      <c r="N333" s="12"/>
      <c r="O333" s="12" t="s">
        <v>701</v>
      </c>
      <c r="P333" s="12"/>
      <c r="Q333" s="12" t="s">
        <v>701</v>
      </c>
      <c r="R333" s="12" t="s">
        <v>701</v>
      </c>
      <c r="S333" s="12" t="s">
        <v>701</v>
      </c>
      <c r="T333" s="12"/>
      <c r="U333" s="12"/>
      <c r="V333" s="12"/>
      <c r="W333" s="12" t="s">
        <v>701</v>
      </c>
      <c r="X333" s="12"/>
      <c r="Y333" s="12"/>
      <c r="Z333" s="12"/>
      <c r="AA333" s="12"/>
      <c r="AB333" s="12"/>
      <c r="AC333" s="12" t="str">
        <f>IF(OR(NOT(ISBLANK(AF333)), NOT(ISBLANK(AG333)), NOT(ISBLANK(AQ333)), NOT(ISBLANK(AN333))), "x", "")</f>
        <v/>
      </c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 spans="1:43" ht="13.5">
      <c r="A334" s="11" t="s">
        <v>352</v>
      </c>
      <c r="B334" s="12" t="s">
        <v>588</v>
      </c>
      <c r="C334" s="12" t="s">
        <v>701</v>
      </c>
      <c r="D334" s="12"/>
      <c r="E334" s="12"/>
      <c r="F334" s="12" t="s">
        <v>701</v>
      </c>
      <c r="G334" s="12" t="s">
        <v>701</v>
      </c>
      <c r="H334" s="12"/>
      <c r="I334" s="12"/>
      <c r="J334" s="12"/>
      <c r="K334" s="12"/>
      <c r="L334" s="12"/>
      <c r="M334" s="12"/>
      <c r="N334" s="12"/>
      <c r="O334" s="12" t="s">
        <v>701</v>
      </c>
      <c r="P334" s="12"/>
      <c r="Q334" s="12" t="s">
        <v>701</v>
      </c>
      <c r="R334" s="12" t="s">
        <v>701</v>
      </c>
      <c r="S334" s="12" t="s">
        <v>701</v>
      </c>
      <c r="T334" s="12"/>
      <c r="U334" s="12"/>
      <c r="V334" s="12"/>
      <c r="W334" s="12" t="s">
        <v>701</v>
      </c>
      <c r="X334" s="12"/>
      <c r="Y334" s="12"/>
      <c r="Z334" s="12"/>
      <c r="AA334" s="12"/>
      <c r="AB334" s="12"/>
      <c r="AC334" s="12" t="str">
        <f>IF(OR(NOT(ISBLANK(AF334)), NOT(ISBLANK(AG334)), NOT(ISBLANK(AQ334)), NOT(ISBLANK(AN334))), "x", "")</f>
        <v/>
      </c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 spans="1:43" ht="13.5">
      <c r="A335" s="11" t="s">
        <v>353</v>
      </c>
      <c r="B335" s="12" t="s">
        <v>599</v>
      </c>
      <c r="C335" s="12" t="s">
        <v>701</v>
      </c>
      <c r="D335" s="12" t="s">
        <v>701</v>
      </c>
      <c r="E335" s="12"/>
      <c r="F335" s="12" t="s">
        <v>701</v>
      </c>
      <c r="G335" s="12" t="s">
        <v>701</v>
      </c>
      <c r="H335" s="12" t="s">
        <v>701</v>
      </c>
      <c r="I335" s="12"/>
      <c r="J335" s="12"/>
      <c r="K335" s="12"/>
      <c r="L335" s="12"/>
      <c r="M335" s="12" t="s">
        <v>701</v>
      </c>
      <c r="N335" s="12"/>
      <c r="O335" s="12" t="s">
        <v>701</v>
      </c>
      <c r="P335" s="12"/>
      <c r="Q335" s="12" t="s">
        <v>701</v>
      </c>
      <c r="R335" s="12" t="s">
        <v>701</v>
      </c>
      <c r="S335" s="12"/>
      <c r="T335" s="12"/>
      <c r="U335" s="12"/>
      <c r="V335" s="12"/>
      <c r="W335" s="12"/>
      <c r="X335" s="12"/>
      <c r="Y335" s="12"/>
      <c r="Z335" s="12"/>
      <c r="AA335" s="12" t="s">
        <v>701</v>
      </c>
      <c r="AB335" s="12"/>
      <c r="AC335" s="12" t="str">
        <f>IF(OR(NOT(ISBLANK(AF335)), NOT(ISBLANK(AG335)), NOT(ISBLANK(AQ335)), NOT(ISBLANK(AN335))), "x", "")</f>
        <v/>
      </c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 spans="1:43" ht="13.5">
      <c r="A336" s="11" t="s">
        <v>354</v>
      </c>
      <c r="B336" s="12" t="s">
        <v>593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 t="str">
        <f>IF(OR(NOT(ISBLANK(AF336)), NOT(ISBLANK(AG336)), NOT(ISBLANK(AQ336)), NOT(ISBLANK(AN336))), "x", "")</f>
        <v/>
      </c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</row>
    <row r="337" spans="1:43" ht="13.5">
      <c r="A337" s="11" t="s">
        <v>355</v>
      </c>
      <c r="B337" s="12" t="s">
        <v>593</v>
      </c>
      <c r="C337" s="12" t="s">
        <v>701</v>
      </c>
      <c r="D337" s="12" t="s">
        <v>701</v>
      </c>
      <c r="E337" s="12"/>
      <c r="F337" s="12"/>
      <c r="G337" s="12"/>
      <c r="H337" s="12" t="s">
        <v>701</v>
      </c>
      <c r="I337" s="12" t="s">
        <v>701</v>
      </c>
      <c r="J337" s="12" t="s">
        <v>701</v>
      </c>
      <c r="K337" s="12"/>
      <c r="L337" s="12"/>
      <c r="M337" s="12"/>
      <c r="N337" s="12"/>
      <c r="O337" s="12" t="s">
        <v>701</v>
      </c>
      <c r="P337" s="12"/>
      <c r="Q337" s="12" t="s">
        <v>701</v>
      </c>
      <c r="R337" s="12" t="s">
        <v>701</v>
      </c>
      <c r="S337" s="12" t="s">
        <v>701</v>
      </c>
      <c r="T337" s="12"/>
      <c r="U337" s="12"/>
      <c r="V337" s="12" t="s">
        <v>701</v>
      </c>
      <c r="W337" s="12"/>
      <c r="X337" s="12" t="s">
        <v>701</v>
      </c>
      <c r="Y337" s="12" t="s">
        <v>701</v>
      </c>
      <c r="Z337" s="12" t="s">
        <v>701</v>
      </c>
      <c r="AA337" s="12" t="s">
        <v>701</v>
      </c>
      <c r="AB337" s="12"/>
      <c r="AC337" s="12" t="str">
        <f>IF(OR(NOT(ISBLANK(AF337)), NOT(ISBLANK(AG337)), NOT(ISBLANK(AQ337)), NOT(ISBLANK(AN337))), "x", "")</f>
        <v/>
      </c>
      <c r="AD337" s="12" t="s">
        <v>701</v>
      </c>
      <c r="AE337" s="12"/>
      <c r="AF337" s="12"/>
      <c r="AG337" s="12"/>
      <c r="AH337" s="12"/>
      <c r="AI337" s="12" t="s">
        <v>701</v>
      </c>
      <c r="AJ337" s="12"/>
      <c r="AK337" s="12"/>
      <c r="AL337" s="12"/>
      <c r="AM337" s="12" t="s">
        <v>701</v>
      </c>
      <c r="AN337" s="12"/>
      <c r="AO337" s="12" t="s">
        <v>701</v>
      </c>
      <c r="AP337" s="12" t="s">
        <v>701</v>
      </c>
      <c r="AQ337" s="12"/>
    </row>
    <row r="338" spans="1:43" ht="13.5">
      <c r="A338" s="11" t="s">
        <v>356</v>
      </c>
      <c r="B338" s="12" t="s">
        <v>593</v>
      </c>
      <c r="C338" s="12" t="s">
        <v>701</v>
      </c>
      <c r="D338" s="12" t="s">
        <v>701</v>
      </c>
      <c r="E338" s="12"/>
      <c r="F338" s="12"/>
      <c r="G338" s="12"/>
      <c r="H338" s="12" t="s">
        <v>701</v>
      </c>
      <c r="I338" s="12" t="s">
        <v>701</v>
      </c>
      <c r="J338" s="12" t="s">
        <v>701</v>
      </c>
      <c r="K338" s="12"/>
      <c r="L338" s="12"/>
      <c r="M338" s="12"/>
      <c r="N338" s="12"/>
      <c r="O338" s="12" t="s">
        <v>701</v>
      </c>
      <c r="P338" s="12"/>
      <c r="Q338" s="12" t="s">
        <v>701</v>
      </c>
      <c r="R338" s="12" t="s">
        <v>701</v>
      </c>
      <c r="S338" s="12" t="s">
        <v>701</v>
      </c>
      <c r="T338" s="12"/>
      <c r="U338" s="12"/>
      <c r="V338" s="12" t="s">
        <v>701</v>
      </c>
      <c r="W338" s="12"/>
      <c r="X338" s="12" t="s">
        <v>701</v>
      </c>
      <c r="Y338" s="12" t="s">
        <v>701</v>
      </c>
      <c r="Z338" s="12" t="s">
        <v>701</v>
      </c>
      <c r="AA338" s="12" t="s">
        <v>701</v>
      </c>
      <c r="AB338" s="12"/>
      <c r="AC338" s="12" t="str">
        <f>IF(OR(NOT(ISBLANK(AF338)), NOT(ISBLANK(AG338)), NOT(ISBLANK(AQ338)), NOT(ISBLANK(AN338))), "x", "")</f>
        <v/>
      </c>
      <c r="AD338" s="12" t="s">
        <v>701</v>
      </c>
      <c r="AE338" s="12"/>
      <c r="AF338" s="12"/>
      <c r="AG338" s="12"/>
      <c r="AH338" s="12"/>
      <c r="AI338" s="12" t="s">
        <v>701</v>
      </c>
      <c r="AJ338" s="12"/>
      <c r="AK338" s="12"/>
      <c r="AL338" s="12"/>
      <c r="AM338" s="12" t="s">
        <v>701</v>
      </c>
      <c r="AN338" s="12"/>
      <c r="AO338" s="12" t="s">
        <v>701</v>
      </c>
      <c r="AP338" s="12" t="s">
        <v>701</v>
      </c>
      <c r="AQ338" s="12"/>
    </row>
    <row r="339" spans="1:43" ht="13.5">
      <c r="A339" s="11" t="s">
        <v>357</v>
      </c>
      <c r="B339" s="12" t="s">
        <v>600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 t="str">
        <f>IF(OR(NOT(ISBLANK(AF339)), NOT(ISBLANK(AG339)), NOT(ISBLANK(AQ339)), NOT(ISBLANK(AN339))), "x", "")</f>
        <v/>
      </c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 spans="1:43" ht="13.5">
      <c r="A340" s="11" t="s">
        <v>358</v>
      </c>
      <c r="B340" s="12" t="s">
        <v>600</v>
      </c>
      <c r="C340" s="12" t="s">
        <v>701</v>
      </c>
      <c r="D340" s="12" t="s">
        <v>701</v>
      </c>
      <c r="E340" s="12"/>
      <c r="F340" s="12" t="s">
        <v>701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 t="s">
        <v>701</v>
      </c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 t="str" cm="1">
        <f t="array" ref="AC340">IF(OR(NOT(ISBLANK(AG34x)), NOT(ISBLANK(AH34x)), NOT(ISBLANK(AR34x)), NOT(ISBLANK(AO34x))), "x", "")</f>
        <v>x</v>
      </c>
      <c r="AD340" s="12"/>
      <c r="AE340" s="12"/>
      <c r="AF340" s="12"/>
      <c r="AG340" s="12"/>
      <c r="AH340" s="12"/>
      <c r="AI340" s="12" t="s">
        <v>701</v>
      </c>
      <c r="AJ340" s="12"/>
      <c r="AK340" s="12"/>
      <c r="AL340" s="12"/>
      <c r="AM340" s="12"/>
      <c r="AN340" s="12"/>
      <c r="AO340" s="12"/>
      <c r="AP340" s="12"/>
      <c r="AQ340" s="12"/>
    </row>
    <row r="341" spans="1:43" ht="13.5">
      <c r="A341" s="11" t="s">
        <v>359</v>
      </c>
      <c r="B341" s="12" t="s">
        <v>599</v>
      </c>
      <c r="C341" s="12" t="s">
        <v>701</v>
      </c>
      <c r="D341" s="12" t="s">
        <v>701</v>
      </c>
      <c r="E341" s="12"/>
      <c r="F341" s="12" t="s">
        <v>701</v>
      </c>
      <c r="G341" s="12" t="s">
        <v>701</v>
      </c>
      <c r="H341" s="12" t="s">
        <v>701</v>
      </c>
      <c r="I341" s="12"/>
      <c r="J341" s="12"/>
      <c r="K341" s="12"/>
      <c r="L341" s="12"/>
      <c r="M341" s="12" t="s">
        <v>701</v>
      </c>
      <c r="N341" s="12"/>
      <c r="O341" s="12" t="s">
        <v>701</v>
      </c>
      <c r="P341" s="12"/>
      <c r="Q341" s="12" t="s">
        <v>701</v>
      </c>
      <c r="R341" s="12" t="s">
        <v>701</v>
      </c>
      <c r="S341" s="12" t="s">
        <v>701</v>
      </c>
      <c r="T341" s="12" t="s">
        <v>701</v>
      </c>
      <c r="U341" s="12" t="s">
        <v>701</v>
      </c>
      <c r="V341" s="12" t="s">
        <v>701</v>
      </c>
      <c r="W341" s="12"/>
      <c r="X341" s="12"/>
      <c r="Y341" s="12" t="s">
        <v>701</v>
      </c>
      <c r="Z341" s="12" t="s">
        <v>701</v>
      </c>
      <c r="AA341" s="12" t="s">
        <v>701</v>
      </c>
      <c r="AB341" s="12"/>
      <c r="AC341" s="12" t="str">
        <f>IF(OR(NOT(ISBLANK(AF341)), NOT(ISBLANK(AG341)), NOT(ISBLANK(AQ341)), NOT(ISBLANK(AN341))), "x", "")</f>
        <v/>
      </c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 spans="1:43" ht="13.5">
      <c r="A342" s="11" t="s">
        <v>360</v>
      </c>
      <c r="B342" s="12" t="s">
        <v>597</v>
      </c>
      <c r="C342" s="12" t="s">
        <v>701</v>
      </c>
      <c r="D342" s="12" t="s">
        <v>701</v>
      </c>
      <c r="E342" s="12"/>
      <c r="F342" s="12" t="s">
        <v>701</v>
      </c>
      <c r="G342" s="12" t="s">
        <v>701</v>
      </c>
      <c r="H342" s="12" t="s">
        <v>701</v>
      </c>
      <c r="I342" s="12"/>
      <c r="J342" s="12" t="s">
        <v>701</v>
      </c>
      <c r="K342" s="12"/>
      <c r="L342" s="12"/>
      <c r="M342" s="12" t="s">
        <v>701</v>
      </c>
      <c r="N342" s="12"/>
      <c r="O342" s="12" t="s">
        <v>701</v>
      </c>
      <c r="P342" s="12"/>
      <c r="Q342" s="12" t="s">
        <v>701</v>
      </c>
      <c r="R342" s="12" t="s">
        <v>701</v>
      </c>
      <c r="S342" s="12" t="s">
        <v>701</v>
      </c>
      <c r="T342" s="12"/>
      <c r="U342" s="12" t="s">
        <v>701</v>
      </c>
      <c r="V342" s="12" t="s">
        <v>701</v>
      </c>
      <c r="W342" s="12"/>
      <c r="X342" s="12"/>
      <c r="Y342" s="12" t="s">
        <v>701</v>
      </c>
      <c r="Z342" s="12" t="s">
        <v>701</v>
      </c>
      <c r="AA342" s="12" t="s">
        <v>701</v>
      </c>
      <c r="AB342" s="12"/>
      <c r="AC342" s="12" t="str">
        <f>IF(OR(NOT(ISBLANK(AF342)), NOT(ISBLANK(AG342)), NOT(ISBLANK(AQ342)), NOT(ISBLANK(AN342))), "x", "")</f>
        <v>x</v>
      </c>
      <c r="AD342" s="12" t="s">
        <v>701</v>
      </c>
      <c r="AE342" s="12" t="s">
        <v>701</v>
      </c>
      <c r="AF342" s="12" t="s">
        <v>701</v>
      </c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</row>
    <row r="343" spans="1:43" ht="13.5">
      <c r="A343" s="11" t="s">
        <v>361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 t="str">
        <f>IF(OR(NOT(ISBLANK(AF343)), NOT(ISBLANK(AG343)), NOT(ISBLANK(AQ343)), NOT(ISBLANK(AN343))), "x", "")</f>
        <v/>
      </c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</row>
    <row r="344" spans="1:43" ht="13.5">
      <c r="A344" s="11" t="s">
        <v>362</v>
      </c>
      <c r="B344" s="12" t="s">
        <v>587</v>
      </c>
      <c r="C344" s="12"/>
      <c r="D344" s="12" t="s">
        <v>701</v>
      </c>
      <c r="E344" s="12"/>
      <c r="F344" s="12" t="s">
        <v>701</v>
      </c>
      <c r="G344" s="12" t="s">
        <v>701</v>
      </c>
      <c r="H344" s="12" t="s">
        <v>701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 t="s">
        <v>701</v>
      </c>
      <c r="T344" s="12"/>
      <c r="U344" s="12"/>
      <c r="V344" s="12"/>
      <c r="W344" s="12" t="s">
        <v>701</v>
      </c>
      <c r="X344" s="12"/>
      <c r="Y344" s="12"/>
      <c r="Z344" s="12"/>
      <c r="AA344" s="12"/>
      <c r="AB344" s="12"/>
      <c r="AC344" s="12" t="str">
        <f>IF(OR(NOT(ISBLANK(AF344)), NOT(ISBLANK(AG344)), NOT(ISBLANK(AQ344)), NOT(ISBLANK(AN344))), "x", "")</f>
        <v/>
      </c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</row>
    <row r="345" spans="1:43" ht="13.5">
      <c r="A345" s="11" t="s">
        <v>363</v>
      </c>
      <c r="B345" s="12" t="s">
        <v>588</v>
      </c>
      <c r="C345" s="12" t="s">
        <v>701</v>
      </c>
      <c r="D345" s="12" t="s">
        <v>701</v>
      </c>
      <c r="E345" s="12"/>
      <c r="F345" s="12"/>
      <c r="G345" s="12" t="s">
        <v>701</v>
      </c>
      <c r="H345" s="12"/>
      <c r="I345" s="12" t="s">
        <v>701</v>
      </c>
      <c r="J345" s="12"/>
      <c r="K345" s="12"/>
      <c r="L345" s="12"/>
      <c r="M345" s="12"/>
      <c r="N345" s="12"/>
      <c r="O345" s="12" t="s">
        <v>701</v>
      </c>
      <c r="P345" s="12"/>
      <c r="Q345" s="12"/>
      <c r="R345" s="12"/>
      <c r="S345" s="12"/>
      <c r="T345" s="12"/>
      <c r="U345" s="12"/>
      <c r="V345" s="12" t="s">
        <v>701</v>
      </c>
      <c r="W345" s="12" t="s">
        <v>701</v>
      </c>
      <c r="X345" s="12" t="s">
        <v>701</v>
      </c>
      <c r="Y345" s="12" t="s">
        <v>701</v>
      </c>
      <c r="Z345" s="12" t="s">
        <v>701</v>
      </c>
      <c r="AA345" s="12" t="s">
        <v>701</v>
      </c>
      <c r="AB345" s="12" t="s">
        <v>701</v>
      </c>
      <c r="AC345" s="12" t="str">
        <f>IF(OR(NOT(ISBLANK(AF345)), NOT(ISBLANK(AG345)), NOT(ISBLANK(AQ345)), NOT(ISBLANK(AN345))), "x", "")</f>
        <v/>
      </c>
      <c r="AD345" s="12" t="s">
        <v>701</v>
      </c>
      <c r="AE345" s="12"/>
      <c r="AF345" s="12"/>
      <c r="AG345" s="12"/>
      <c r="AH345" s="12"/>
      <c r="AI345" s="12"/>
      <c r="AJ345" s="12"/>
      <c r="AK345" s="12"/>
      <c r="AL345" s="12"/>
      <c r="AM345" s="12" t="s">
        <v>701</v>
      </c>
      <c r="AN345" s="12"/>
      <c r="AO345" s="12"/>
      <c r="AP345" s="12"/>
      <c r="AQ345" s="12"/>
    </row>
    <row r="346" spans="1:43" ht="13.5">
      <c r="A346" s="11" t="s">
        <v>364</v>
      </c>
      <c r="B346" s="12" t="s">
        <v>587</v>
      </c>
      <c r="C346" s="12"/>
      <c r="D346" s="12" t="s">
        <v>701</v>
      </c>
      <c r="E346" s="12"/>
      <c r="F346" s="12" t="s">
        <v>701</v>
      </c>
      <c r="G346" s="12" t="s">
        <v>701</v>
      </c>
      <c r="H346" s="12" t="s">
        <v>701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 t="s">
        <v>701</v>
      </c>
      <c r="T346" s="12"/>
      <c r="U346" s="12"/>
      <c r="V346" s="12"/>
      <c r="W346" s="12" t="s">
        <v>701</v>
      </c>
      <c r="X346" s="12"/>
      <c r="Y346" s="12"/>
      <c r="Z346" s="12" t="s">
        <v>701</v>
      </c>
      <c r="AA346" s="12"/>
      <c r="AB346" s="12"/>
      <c r="AC346" s="12" t="str">
        <f>IF(OR(NOT(ISBLANK(AF346)), NOT(ISBLANK(AG346)), NOT(ISBLANK(AQ346)), NOT(ISBLANK(AN346))), "x", "")</f>
        <v>x</v>
      </c>
      <c r="AD346" s="12" t="s">
        <v>701</v>
      </c>
      <c r="AE346" s="12"/>
      <c r="AF346" s="12" t="s">
        <v>701</v>
      </c>
      <c r="AG346" s="12" t="s">
        <v>701</v>
      </c>
      <c r="AH346" s="12" t="s">
        <v>701</v>
      </c>
      <c r="AI346" s="12"/>
      <c r="AJ346" s="12"/>
      <c r="AK346" s="12"/>
      <c r="AL346" s="12"/>
      <c r="AM346" s="12" t="s">
        <v>701</v>
      </c>
      <c r="AN346" s="12"/>
      <c r="AO346" s="12" t="s">
        <v>701</v>
      </c>
      <c r="AP346" s="12" t="s">
        <v>701</v>
      </c>
      <c r="AQ346" s="12" t="s">
        <v>701</v>
      </c>
    </row>
    <row r="347" spans="1:43" ht="13.5">
      <c r="A347" s="11" t="s">
        <v>365</v>
      </c>
      <c r="B347" s="12" t="s">
        <v>588</v>
      </c>
      <c r="C347" s="12" t="s">
        <v>701</v>
      </c>
      <c r="D347" s="12" t="s">
        <v>701</v>
      </c>
      <c r="E347" s="12"/>
      <c r="F347" s="12" t="s">
        <v>701</v>
      </c>
      <c r="G347" s="12" t="s">
        <v>701</v>
      </c>
      <c r="H347" s="12" t="s">
        <v>701</v>
      </c>
      <c r="I347" s="12"/>
      <c r="J347" s="12"/>
      <c r="K347" s="12"/>
      <c r="L347" s="12"/>
      <c r="M347" s="12" t="s">
        <v>701</v>
      </c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 t="str">
        <f>IF(OR(NOT(ISBLANK(AF347)), NOT(ISBLANK(AG347)), NOT(ISBLANK(AQ347)), NOT(ISBLANK(AN347))), "x", "")</f>
        <v/>
      </c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</row>
    <row r="348" spans="1:43" ht="13.5">
      <c r="A348" s="11" t="s">
        <v>366</v>
      </c>
      <c r="B348" s="12" t="s">
        <v>588</v>
      </c>
      <c r="C348" s="12" t="s">
        <v>701</v>
      </c>
      <c r="D348" s="12" t="s">
        <v>701</v>
      </c>
      <c r="E348" s="12"/>
      <c r="F348" s="12" t="s">
        <v>701</v>
      </c>
      <c r="G348" s="12" t="s">
        <v>701</v>
      </c>
      <c r="H348" s="12" t="s">
        <v>701</v>
      </c>
      <c r="I348" s="12"/>
      <c r="J348" s="12"/>
      <c r="K348" s="12"/>
      <c r="L348" s="12"/>
      <c r="M348" s="12" t="s">
        <v>701</v>
      </c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 t="str">
        <f>IF(OR(NOT(ISBLANK(AF348)), NOT(ISBLANK(AG348)), NOT(ISBLANK(AQ348)), NOT(ISBLANK(AN348))), "x", "")</f>
        <v/>
      </c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</row>
    <row r="349" spans="1:43" ht="13.5">
      <c r="A349" s="11" t="s">
        <v>367</v>
      </c>
      <c r="B349" s="12" t="s">
        <v>588</v>
      </c>
      <c r="C349" s="12" t="s">
        <v>701</v>
      </c>
      <c r="D349" s="12" t="s">
        <v>701</v>
      </c>
      <c r="E349" s="12"/>
      <c r="F349" s="12" t="s">
        <v>701</v>
      </c>
      <c r="G349" s="12" t="s">
        <v>701</v>
      </c>
      <c r="H349" s="12" t="s">
        <v>701</v>
      </c>
      <c r="I349" s="12"/>
      <c r="J349" s="12"/>
      <c r="K349" s="12" t="s">
        <v>701</v>
      </c>
      <c r="L349" s="12"/>
      <c r="M349" s="12" t="s">
        <v>701</v>
      </c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 t="str">
        <f>IF(OR(NOT(ISBLANK(AF349)), NOT(ISBLANK(AG349)), NOT(ISBLANK(AQ349)), NOT(ISBLANK(AN349))), "x", "")</f>
        <v/>
      </c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</row>
    <row r="350" spans="1:43" ht="13.5">
      <c r="A350" s="11" t="s">
        <v>368</v>
      </c>
      <c r="B350" s="12" t="s">
        <v>592</v>
      </c>
      <c r="C350" s="12" t="s">
        <v>701</v>
      </c>
      <c r="D350" s="12" t="s">
        <v>701</v>
      </c>
      <c r="E350" s="12"/>
      <c r="F350" s="12"/>
      <c r="G350" s="12" t="s">
        <v>701</v>
      </c>
      <c r="H350" s="12"/>
      <c r="I350" s="12" t="s">
        <v>701</v>
      </c>
      <c r="J350" s="12"/>
      <c r="K350" s="12"/>
      <c r="L350" s="12"/>
      <c r="M350" s="12" t="s">
        <v>701</v>
      </c>
      <c r="N350" s="12"/>
      <c r="O350" s="12" t="s">
        <v>701</v>
      </c>
      <c r="P350" s="12"/>
      <c r="Q350" s="12"/>
      <c r="R350" s="12"/>
      <c r="S350" s="12"/>
      <c r="T350" s="12"/>
      <c r="U350" s="12"/>
      <c r="V350" s="12" t="s">
        <v>701</v>
      </c>
      <c r="W350" s="12" t="s">
        <v>701</v>
      </c>
      <c r="X350" s="12" t="s">
        <v>701</v>
      </c>
      <c r="Y350" s="12" t="s">
        <v>701</v>
      </c>
      <c r="Z350" s="12" t="s">
        <v>701</v>
      </c>
      <c r="AA350" s="12" t="s">
        <v>701</v>
      </c>
      <c r="AB350" s="12" t="s">
        <v>701</v>
      </c>
      <c r="AC350" s="12" t="str" cm="1">
        <f t="array" ref="AC350">IF(OR(NOT(ISBLANK(AG35x)), NOT(ISBLANK(AH35x)), NOT(ISBLANK(AR35x)), NOT(ISBLANK(AO35x))), "x", "")</f>
        <v>x</v>
      </c>
      <c r="AD350" s="12" t="s">
        <v>701</v>
      </c>
      <c r="AE350" s="12"/>
      <c r="AF350" s="12"/>
      <c r="AG350" s="12" t="s">
        <v>701</v>
      </c>
      <c r="AH350" s="12"/>
      <c r="AI350" s="12"/>
      <c r="AJ350" s="12"/>
      <c r="AK350" s="12"/>
      <c r="AL350" s="12"/>
      <c r="AM350" s="12" t="s">
        <v>701</v>
      </c>
      <c r="AN350" s="12"/>
      <c r="AO350" s="12"/>
      <c r="AP350" s="12"/>
      <c r="AQ350" s="12"/>
    </row>
    <row r="351" spans="1:43" ht="13.5">
      <c r="A351" s="11" t="s">
        <v>369</v>
      </c>
      <c r="B351" s="12" t="s">
        <v>588</v>
      </c>
      <c r="C351" s="12" t="s">
        <v>701</v>
      </c>
      <c r="D351" s="12" t="s">
        <v>701</v>
      </c>
      <c r="E351" s="12"/>
      <c r="F351" s="12" t="s">
        <v>701</v>
      </c>
      <c r="G351" s="12" t="s">
        <v>701</v>
      </c>
      <c r="H351" s="12" t="s">
        <v>701</v>
      </c>
      <c r="I351" s="12" t="s">
        <v>701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 t="s">
        <v>701</v>
      </c>
      <c r="W351" s="12" t="s">
        <v>701</v>
      </c>
      <c r="X351" s="12" t="s">
        <v>701</v>
      </c>
      <c r="Y351" s="12"/>
      <c r="Z351" s="12" t="s">
        <v>701</v>
      </c>
      <c r="AA351" s="12"/>
      <c r="AB351" s="12"/>
      <c r="AC351" s="12" t="str">
        <f>IF(OR(NOT(ISBLANK(AF351)), NOT(ISBLANK(AG351)), NOT(ISBLANK(AQ351)), NOT(ISBLANK(AN351))), "x", "")</f>
        <v/>
      </c>
      <c r="AD351" s="12" t="s">
        <v>701</v>
      </c>
      <c r="AE351" s="12"/>
      <c r="AF351" s="12"/>
      <c r="AG351" s="12"/>
      <c r="AH351" s="12" t="s">
        <v>701</v>
      </c>
      <c r="AI351" s="12"/>
      <c r="AJ351" s="12"/>
      <c r="AK351" s="12"/>
      <c r="AL351" s="12"/>
      <c r="AM351" s="12"/>
      <c r="AN351" s="12"/>
      <c r="AO351" s="12"/>
      <c r="AP351" s="12"/>
      <c r="AQ351" s="12"/>
    </row>
    <row r="352" spans="1:43" ht="13.5">
      <c r="A352" s="11" t="s">
        <v>370</v>
      </c>
      <c r="B352" s="12" t="s">
        <v>598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 t="str">
        <f>IF(OR(NOT(ISBLANK(AF352)), NOT(ISBLANK(AG352)), NOT(ISBLANK(AQ352)), NOT(ISBLANK(AN352))), "x", "")</f>
        <v/>
      </c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</row>
    <row r="353" spans="1:43" ht="13.5">
      <c r="A353" s="11" t="s">
        <v>371</v>
      </c>
      <c r="B353" s="12" t="s">
        <v>598</v>
      </c>
      <c r="C353" s="12" t="s">
        <v>701</v>
      </c>
      <c r="D353" s="12" t="s">
        <v>701</v>
      </c>
      <c r="E353" s="12"/>
      <c r="F353" s="12"/>
      <c r="G353" s="12" t="s">
        <v>701</v>
      </c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 t="s">
        <v>701</v>
      </c>
      <c r="AA353" s="12" t="s">
        <v>701</v>
      </c>
      <c r="AB353" s="12"/>
      <c r="AC353" s="12" t="str">
        <f>IF(OR(NOT(ISBLANK(AF353)), NOT(ISBLANK(AG353)), NOT(ISBLANK(AQ353)), NOT(ISBLANK(AN353))), "x", "")</f>
        <v>x</v>
      </c>
      <c r="AD353" s="12"/>
      <c r="AE353" s="12"/>
      <c r="AF353" s="12"/>
      <c r="AG353" s="12" t="s">
        <v>701</v>
      </c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</row>
    <row r="354" spans="1:43" ht="13.5">
      <c r="A354" s="11" t="s">
        <v>372</v>
      </c>
      <c r="B354" s="12" t="s">
        <v>598</v>
      </c>
      <c r="C354" s="12" t="s">
        <v>701</v>
      </c>
      <c r="D354" s="12" t="s">
        <v>701</v>
      </c>
      <c r="E354" s="12"/>
      <c r="F354" s="12"/>
      <c r="G354" s="12" t="s">
        <v>701</v>
      </c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 t="s">
        <v>701</v>
      </c>
      <c r="AA354" s="12" t="s">
        <v>701</v>
      </c>
      <c r="AB354" s="12"/>
      <c r="AC354" s="12" t="str">
        <f>IF(OR(NOT(ISBLANK(AF354)), NOT(ISBLANK(AG354)), NOT(ISBLANK(AQ354)), NOT(ISBLANK(AN354))), "x", "")</f>
        <v>x</v>
      </c>
      <c r="AD354" s="12"/>
      <c r="AE354" s="12"/>
      <c r="AF354" s="12"/>
      <c r="AG354" s="12" t="s">
        <v>701</v>
      </c>
      <c r="AH354" s="12" t="s">
        <v>701</v>
      </c>
      <c r="AI354" s="12"/>
      <c r="AJ354" s="12"/>
      <c r="AK354" s="12"/>
      <c r="AL354" s="12"/>
      <c r="AM354" s="12"/>
      <c r="AN354" s="12"/>
      <c r="AO354" s="12"/>
      <c r="AP354" s="12"/>
      <c r="AQ354" s="12"/>
    </row>
    <row r="355" spans="1:43" ht="13.5">
      <c r="A355" s="11" t="s">
        <v>373</v>
      </c>
      <c r="B355" s="12" t="s">
        <v>593</v>
      </c>
      <c r="C355" s="12" t="s">
        <v>701</v>
      </c>
      <c r="D355" s="12" t="s">
        <v>701</v>
      </c>
      <c r="E355" s="12"/>
      <c r="F355" s="12"/>
      <c r="G355" s="12"/>
      <c r="H355" s="12" t="s">
        <v>701</v>
      </c>
      <c r="I355" s="12" t="s">
        <v>701</v>
      </c>
      <c r="J355" s="12" t="s">
        <v>701</v>
      </c>
      <c r="K355" s="12"/>
      <c r="L355" s="12"/>
      <c r="M355" s="12"/>
      <c r="N355" s="12"/>
      <c r="O355" s="12" t="s">
        <v>701</v>
      </c>
      <c r="P355" s="12"/>
      <c r="Q355" s="12"/>
      <c r="R355" s="12" t="s">
        <v>701</v>
      </c>
      <c r="S355" s="12" t="s">
        <v>701</v>
      </c>
      <c r="T355" s="12"/>
      <c r="U355" s="12" t="s">
        <v>701</v>
      </c>
      <c r="V355" s="12" t="s">
        <v>701</v>
      </c>
      <c r="W355" s="12" t="s">
        <v>701</v>
      </c>
      <c r="X355" s="12" t="s">
        <v>701</v>
      </c>
      <c r="Y355" s="12" t="s">
        <v>701</v>
      </c>
      <c r="Z355" s="12" t="s">
        <v>701</v>
      </c>
      <c r="AA355" s="12" t="s">
        <v>701</v>
      </c>
      <c r="AB355" s="12" t="s">
        <v>701</v>
      </c>
      <c r="AC355" s="12" t="str">
        <f>IF(OR(NOT(ISBLANK(AF355)), NOT(ISBLANK(AG355)), NOT(ISBLANK(AQ355)), NOT(ISBLANK(AN355))), "x", "")</f>
        <v>x</v>
      </c>
      <c r="AD355" s="12" t="s">
        <v>701</v>
      </c>
      <c r="AE355" s="12"/>
      <c r="AF355" s="12"/>
      <c r="AG355" s="12" t="s">
        <v>701</v>
      </c>
      <c r="AH355" s="12" t="s">
        <v>701</v>
      </c>
      <c r="AI355" s="12"/>
      <c r="AJ355" s="12"/>
      <c r="AK355" s="12"/>
      <c r="AL355" s="12"/>
      <c r="AM355" s="12" t="s">
        <v>701</v>
      </c>
      <c r="AN355" s="12"/>
      <c r="AO355" s="12" t="s">
        <v>701</v>
      </c>
      <c r="AP355" s="12" t="s">
        <v>701</v>
      </c>
      <c r="AQ355" s="12"/>
    </row>
    <row r="356" spans="1:43" ht="13.5">
      <c r="A356" s="11" t="s">
        <v>374</v>
      </c>
      <c r="B356" s="12" t="s">
        <v>593</v>
      </c>
      <c r="C356" s="12" t="s">
        <v>701</v>
      </c>
      <c r="D356" s="12" t="s">
        <v>701</v>
      </c>
      <c r="E356" s="12"/>
      <c r="F356" s="12"/>
      <c r="G356" s="12"/>
      <c r="H356" s="12" t="s">
        <v>701</v>
      </c>
      <c r="I356" s="12" t="s">
        <v>701</v>
      </c>
      <c r="J356" s="12" t="s">
        <v>701</v>
      </c>
      <c r="K356" s="12"/>
      <c r="L356" s="12"/>
      <c r="M356" s="12"/>
      <c r="N356" s="12"/>
      <c r="O356" s="12" t="s">
        <v>701</v>
      </c>
      <c r="P356" s="12"/>
      <c r="Q356" s="12"/>
      <c r="R356" s="12"/>
      <c r="S356" s="12" t="s">
        <v>701</v>
      </c>
      <c r="T356" s="12"/>
      <c r="U356" s="12"/>
      <c r="V356" s="12" t="s">
        <v>701</v>
      </c>
      <c r="W356" s="12"/>
      <c r="X356" s="12" t="s">
        <v>701</v>
      </c>
      <c r="Y356" s="12" t="s">
        <v>701</v>
      </c>
      <c r="Z356" s="12" t="s">
        <v>701</v>
      </c>
      <c r="AA356" s="12" t="s">
        <v>701</v>
      </c>
      <c r="AB356" s="12" t="s">
        <v>701</v>
      </c>
      <c r="AC356" s="12" t="str">
        <f>IF(OR(NOT(ISBLANK(AF356)), NOT(ISBLANK(AG356)), NOT(ISBLANK(AQ356)), NOT(ISBLANK(AN356))), "x", "")</f>
        <v>x</v>
      </c>
      <c r="AD356" s="12" t="s">
        <v>701</v>
      </c>
      <c r="AE356" s="12"/>
      <c r="AF356" s="12"/>
      <c r="AG356" s="12" t="s">
        <v>701</v>
      </c>
      <c r="AH356" s="12"/>
      <c r="AI356" s="12"/>
      <c r="AJ356" s="12"/>
      <c r="AK356" s="12"/>
      <c r="AL356" s="12"/>
      <c r="AM356" s="12" t="s">
        <v>701</v>
      </c>
      <c r="AN356" s="12"/>
      <c r="AO356" s="12" t="s">
        <v>701</v>
      </c>
      <c r="AP356" s="12" t="s">
        <v>701</v>
      </c>
      <c r="AQ356" s="12"/>
    </row>
    <row r="357" spans="1:43" ht="13.5">
      <c r="A357" s="11" t="s">
        <v>375</v>
      </c>
      <c r="B357" s="12" t="s">
        <v>592</v>
      </c>
      <c r="C357" s="12" t="s">
        <v>701</v>
      </c>
      <c r="D357" s="12" t="s">
        <v>701</v>
      </c>
      <c r="E357" s="12"/>
      <c r="F357" s="12" t="s">
        <v>701</v>
      </c>
      <c r="G357" s="12"/>
      <c r="H357" s="12" t="s">
        <v>701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 t="s">
        <v>701</v>
      </c>
      <c r="AB357" s="12"/>
      <c r="AC357" s="12" t="str">
        <f>IF(OR(NOT(ISBLANK(AF357)), NOT(ISBLANK(AG357)), NOT(ISBLANK(AQ357)), NOT(ISBLANK(AN357))), "x", "")</f>
        <v>x</v>
      </c>
      <c r="AD357" s="12" t="s">
        <v>701</v>
      </c>
      <c r="AE357" s="12"/>
      <c r="AF357" s="12" t="s">
        <v>701</v>
      </c>
      <c r="AG357" s="12" t="s">
        <v>701</v>
      </c>
      <c r="AH357" s="12" t="s">
        <v>701</v>
      </c>
      <c r="AI357" s="12"/>
      <c r="AJ357" s="12"/>
      <c r="AK357" s="12"/>
      <c r="AL357" s="12"/>
      <c r="AM357" s="12" t="s">
        <v>701</v>
      </c>
      <c r="AN357" s="12"/>
      <c r="AO357" s="12" t="s">
        <v>701</v>
      </c>
      <c r="AP357" s="12" t="s">
        <v>701</v>
      </c>
      <c r="AQ357" s="12" t="s">
        <v>701</v>
      </c>
    </row>
    <row r="358" spans="1:43" ht="13.5">
      <c r="A358" s="11" t="s">
        <v>376</v>
      </c>
      <c r="B358" s="12" t="s">
        <v>588</v>
      </c>
      <c r="C358" s="12" t="s">
        <v>701</v>
      </c>
      <c r="D358" s="12" t="s">
        <v>701</v>
      </c>
      <c r="E358" s="12"/>
      <c r="F358" s="12" t="s">
        <v>701</v>
      </c>
      <c r="G358" s="12" t="s">
        <v>701</v>
      </c>
      <c r="H358" s="12" t="s">
        <v>701</v>
      </c>
      <c r="I358" s="12"/>
      <c r="J358" s="12"/>
      <c r="K358" s="12"/>
      <c r="L358" s="12"/>
      <c r="M358" s="12"/>
      <c r="N358" s="12"/>
      <c r="O358" s="12"/>
      <c r="P358" s="12"/>
      <c r="Q358" s="12" t="s">
        <v>701</v>
      </c>
      <c r="R358" s="12"/>
      <c r="S358" s="12" t="s">
        <v>701</v>
      </c>
      <c r="T358" s="12"/>
      <c r="U358" s="12"/>
      <c r="V358" s="12"/>
      <c r="W358" s="12"/>
      <c r="X358" s="12"/>
      <c r="Y358" s="12"/>
      <c r="Z358" s="12"/>
      <c r="AA358" s="12"/>
      <c r="AB358" s="12"/>
      <c r="AC358" s="12" t="str">
        <f>IF(OR(NOT(ISBLANK(AF358)), NOT(ISBLANK(AG358)), NOT(ISBLANK(AQ358)), NOT(ISBLANK(AN358))), "x", "")</f>
        <v/>
      </c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</row>
    <row r="359" spans="1:43" ht="13.5">
      <c r="A359" s="11" t="s">
        <v>377</v>
      </c>
      <c r="B359" s="12" t="s">
        <v>588</v>
      </c>
      <c r="C359" s="12" t="s">
        <v>701</v>
      </c>
      <c r="D359" s="12" t="s">
        <v>701</v>
      </c>
      <c r="E359" s="12"/>
      <c r="F359" s="12" t="s">
        <v>701</v>
      </c>
      <c r="G359" s="12" t="s">
        <v>701</v>
      </c>
      <c r="H359" s="12" t="s">
        <v>701</v>
      </c>
      <c r="I359" s="12"/>
      <c r="J359" s="12"/>
      <c r="K359" s="12"/>
      <c r="L359" s="12"/>
      <c r="M359" s="12"/>
      <c r="N359" s="12"/>
      <c r="O359" s="12"/>
      <c r="P359" s="12"/>
      <c r="Q359" s="12" t="s">
        <v>701</v>
      </c>
      <c r="R359" s="12"/>
      <c r="S359" s="12" t="s">
        <v>701</v>
      </c>
      <c r="T359" s="12"/>
      <c r="U359" s="12"/>
      <c r="V359" s="12"/>
      <c r="W359" s="12"/>
      <c r="X359" s="12"/>
      <c r="Y359" s="12"/>
      <c r="Z359" s="12"/>
      <c r="AA359" s="12"/>
      <c r="AB359" s="12"/>
      <c r="AC359" s="12" t="str">
        <f>IF(OR(NOT(ISBLANK(AF359)), NOT(ISBLANK(AG359)), NOT(ISBLANK(AQ359)), NOT(ISBLANK(AN359))), "x", "")</f>
        <v/>
      </c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</row>
    <row r="360" spans="1:43" ht="13.5">
      <c r="A360" s="11" t="s">
        <v>378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 t="str" cm="1">
        <f t="array" ref="AC360">IF(OR(NOT(ISBLANK(AG36x)), NOT(ISBLANK(AH36x)), NOT(ISBLANK(AR36x)), NOT(ISBLANK(AO36x))), "x", "")</f>
        <v>x</v>
      </c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</row>
    <row r="361" spans="1:43" ht="13.5">
      <c r="A361" s="11" t="s">
        <v>379</v>
      </c>
      <c r="B361" s="12" t="s">
        <v>587</v>
      </c>
      <c r="C361" s="12"/>
      <c r="D361" s="12" t="s">
        <v>701</v>
      </c>
      <c r="E361" s="12"/>
      <c r="F361" s="12" t="s">
        <v>701</v>
      </c>
      <c r="G361" s="12" t="s">
        <v>701</v>
      </c>
      <c r="H361" s="12" t="s">
        <v>701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 t="s">
        <v>701</v>
      </c>
      <c r="T361" s="12"/>
      <c r="U361" s="12"/>
      <c r="V361" s="12"/>
      <c r="W361" s="12" t="s">
        <v>701</v>
      </c>
      <c r="X361" s="12"/>
      <c r="Y361" s="12"/>
      <c r="Z361" s="12"/>
      <c r="AA361" s="12"/>
      <c r="AB361" s="12"/>
      <c r="AC361" s="12" t="str">
        <f>IF(OR(NOT(ISBLANK(AF361)), NOT(ISBLANK(AG361)), NOT(ISBLANK(AQ361)), NOT(ISBLANK(AN361))), "x", "")</f>
        <v/>
      </c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 spans="1:43" ht="13.5">
      <c r="A362" s="11" t="s">
        <v>380</v>
      </c>
      <c r="B362" s="12" t="s">
        <v>588</v>
      </c>
      <c r="C362" s="12" t="s">
        <v>701</v>
      </c>
      <c r="D362" s="12" t="s">
        <v>701</v>
      </c>
      <c r="E362" s="12"/>
      <c r="F362" s="12"/>
      <c r="G362" s="12" t="s">
        <v>701</v>
      </c>
      <c r="H362" s="12"/>
      <c r="I362" s="12" t="s">
        <v>701</v>
      </c>
      <c r="J362" s="12"/>
      <c r="K362" s="12"/>
      <c r="L362" s="12"/>
      <c r="M362" s="12"/>
      <c r="N362" s="12"/>
      <c r="O362" s="12" t="s">
        <v>701</v>
      </c>
      <c r="P362" s="12"/>
      <c r="Q362" s="12"/>
      <c r="R362" s="12"/>
      <c r="S362" s="12"/>
      <c r="T362" s="12"/>
      <c r="U362" s="12"/>
      <c r="V362" s="12" t="s">
        <v>701</v>
      </c>
      <c r="W362" s="12" t="s">
        <v>701</v>
      </c>
      <c r="X362" s="12" t="s">
        <v>701</v>
      </c>
      <c r="Y362" s="12" t="s">
        <v>701</v>
      </c>
      <c r="Z362" s="12" t="s">
        <v>701</v>
      </c>
      <c r="AA362" s="12" t="s">
        <v>701</v>
      </c>
      <c r="AB362" s="12" t="s">
        <v>701</v>
      </c>
      <c r="AC362" s="12" t="str">
        <f>IF(OR(NOT(ISBLANK(AF362)), NOT(ISBLANK(AG362)), NOT(ISBLANK(AQ362)), NOT(ISBLANK(AN362))), "x", "")</f>
        <v/>
      </c>
      <c r="AD362" s="12" t="s">
        <v>701</v>
      </c>
      <c r="AE362" s="12"/>
      <c r="AF362" s="12"/>
      <c r="AG362" s="12"/>
      <c r="AH362" s="12"/>
      <c r="AI362" s="12"/>
      <c r="AJ362" s="12"/>
      <c r="AK362" s="12"/>
      <c r="AL362" s="12"/>
      <c r="AM362" s="12" t="s">
        <v>701</v>
      </c>
      <c r="AN362" s="12"/>
      <c r="AO362" s="12"/>
      <c r="AP362" s="12"/>
      <c r="AQ362" s="12"/>
    </row>
    <row r="363" spans="1:43" ht="13.5">
      <c r="A363" s="11" t="s">
        <v>381</v>
      </c>
      <c r="B363" s="12" t="s">
        <v>587</v>
      </c>
      <c r="C363" s="12" t="s">
        <v>701</v>
      </c>
      <c r="D363" s="12" t="s">
        <v>701</v>
      </c>
      <c r="E363" s="12"/>
      <c r="F363" s="12" t="s">
        <v>701</v>
      </c>
      <c r="G363" s="12" t="s">
        <v>701</v>
      </c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 t="s">
        <v>701</v>
      </c>
      <c r="W363" s="12"/>
      <c r="X363" s="12"/>
      <c r="Y363" s="12"/>
      <c r="Z363" s="12"/>
      <c r="AA363" s="12"/>
      <c r="AB363" s="12"/>
      <c r="AC363" s="12" t="str">
        <f>IF(OR(NOT(ISBLANK(AF363)), NOT(ISBLANK(AG363)), NOT(ISBLANK(AQ363)), NOT(ISBLANK(AN363))), "x", "")</f>
        <v/>
      </c>
      <c r="AD363" s="12"/>
      <c r="AE363" s="12" t="s">
        <v>701</v>
      </c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</row>
    <row r="364" spans="1:43" ht="13.5">
      <c r="A364" s="11" t="s">
        <v>382</v>
      </c>
      <c r="B364" s="12" t="s">
        <v>598</v>
      </c>
      <c r="C364" s="12" t="s">
        <v>701</v>
      </c>
      <c r="D364" s="12"/>
      <c r="E364" s="12"/>
      <c r="F364" s="12"/>
      <c r="G364" s="12" t="s">
        <v>701</v>
      </c>
      <c r="H364" s="12" t="s">
        <v>701</v>
      </c>
      <c r="I364" s="12" t="s">
        <v>701</v>
      </c>
      <c r="J364" s="12" t="s">
        <v>701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 t="s">
        <v>701</v>
      </c>
      <c r="Z364" s="12"/>
      <c r="AA364" s="12" t="s">
        <v>701</v>
      </c>
      <c r="AB364" s="12"/>
      <c r="AC364" s="12" t="str">
        <f>IF(OR(NOT(ISBLANK(AF364)), NOT(ISBLANK(AG364)), NOT(ISBLANK(AQ364)), NOT(ISBLANK(AN364))), "x", "")</f>
        <v>x</v>
      </c>
      <c r="AD364" s="12" t="s">
        <v>701</v>
      </c>
      <c r="AE364" s="12" t="s">
        <v>701</v>
      </c>
      <c r="AF364" s="12"/>
      <c r="AG364" s="12" t="s">
        <v>701</v>
      </c>
      <c r="AH364" s="12"/>
      <c r="AI364" s="12"/>
      <c r="AJ364" s="12"/>
      <c r="AK364" s="12"/>
      <c r="AL364" s="12"/>
      <c r="AM364" s="12" t="s">
        <v>701</v>
      </c>
      <c r="AN364" s="12"/>
      <c r="AO364" s="12" t="s">
        <v>701</v>
      </c>
      <c r="AP364" s="12" t="s">
        <v>701</v>
      </c>
      <c r="AQ364" s="12"/>
    </row>
    <row r="365" spans="1:43" ht="13.5">
      <c r="A365" s="11" t="s">
        <v>383</v>
      </c>
      <c r="B365" s="12" t="s">
        <v>588</v>
      </c>
      <c r="C365" s="12" t="s">
        <v>701</v>
      </c>
      <c r="D365" s="12" t="s">
        <v>701</v>
      </c>
      <c r="E365" s="12"/>
      <c r="F365" s="12"/>
      <c r="G365" s="12" t="s">
        <v>701</v>
      </c>
      <c r="H365" s="12" t="s">
        <v>701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 t="s">
        <v>701</v>
      </c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 t="str">
        <f>IF(OR(NOT(ISBLANK(AF365)), NOT(ISBLANK(AG365)), NOT(ISBLANK(AQ365)), NOT(ISBLANK(AN365))), "x", "")</f>
        <v/>
      </c>
      <c r="AD365" s="12"/>
      <c r="AE365" s="12" t="s">
        <v>701</v>
      </c>
      <c r="AF365" s="12"/>
      <c r="AG365" s="12"/>
      <c r="AH365" s="12" t="s">
        <v>701</v>
      </c>
      <c r="AI365" s="12"/>
      <c r="AJ365" s="12"/>
      <c r="AK365" s="12"/>
      <c r="AL365" s="12"/>
      <c r="AM365" s="12"/>
      <c r="AN365" s="12"/>
      <c r="AO365" s="12"/>
      <c r="AP365" s="12"/>
      <c r="AQ365" s="12"/>
    </row>
    <row r="366" spans="1:43" ht="13.5">
      <c r="A366" s="11" t="s">
        <v>384</v>
      </c>
      <c r="B366" s="12" t="s">
        <v>588</v>
      </c>
      <c r="C366" s="12" t="s">
        <v>701</v>
      </c>
      <c r="D366" s="12" t="s">
        <v>701</v>
      </c>
      <c r="E366" s="12"/>
      <c r="F366" s="12"/>
      <c r="G366" s="12" t="s">
        <v>701</v>
      </c>
      <c r="H366" s="12" t="s">
        <v>701</v>
      </c>
      <c r="I366" s="12"/>
      <c r="J366" s="12" t="s">
        <v>701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 t="s">
        <v>701</v>
      </c>
      <c r="Z366" s="12"/>
      <c r="AA366" s="12" t="s">
        <v>701</v>
      </c>
      <c r="AB366" s="12"/>
      <c r="AC366" s="12" t="str">
        <f>IF(OR(NOT(ISBLANK(AF366)), NOT(ISBLANK(AG366)), NOT(ISBLANK(AQ366)), NOT(ISBLANK(AN366))), "x", "")</f>
        <v/>
      </c>
      <c r="AD366" s="12" t="s">
        <v>701</v>
      </c>
      <c r="AE366" s="12"/>
      <c r="AF366" s="12"/>
      <c r="AG366" s="12"/>
      <c r="AH366" s="12"/>
      <c r="AI366" s="12"/>
      <c r="AJ366" s="12"/>
      <c r="AK366" s="12"/>
      <c r="AL366" s="12"/>
      <c r="AM366" s="12" t="s">
        <v>701</v>
      </c>
      <c r="AN366" s="12"/>
      <c r="AO366" s="12" t="s">
        <v>701</v>
      </c>
      <c r="AP366" s="12" t="s">
        <v>701</v>
      </c>
      <c r="AQ366" s="12"/>
    </row>
    <row r="367" spans="1:43" ht="13.5">
      <c r="A367" s="11" t="s">
        <v>385</v>
      </c>
      <c r="B367" s="12" t="s">
        <v>587</v>
      </c>
      <c r="C367" s="12" t="s">
        <v>701</v>
      </c>
      <c r="D367" s="12" t="s">
        <v>701</v>
      </c>
      <c r="E367" s="12"/>
      <c r="F367" s="12" t="s">
        <v>701</v>
      </c>
      <c r="G367" s="12" t="s">
        <v>701</v>
      </c>
      <c r="H367" s="12" t="s">
        <v>701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 t="s">
        <v>701</v>
      </c>
      <c r="W367" s="12"/>
      <c r="X367" s="12"/>
      <c r="Y367" s="12"/>
      <c r="Z367" s="12" t="s">
        <v>701</v>
      </c>
      <c r="AA367" s="12"/>
      <c r="AB367" s="12"/>
      <c r="AC367" s="12" t="str">
        <f>IF(OR(NOT(ISBLANK(AF367)), NOT(ISBLANK(AG367)), NOT(ISBLANK(AQ367)), NOT(ISBLANK(AN367))), "x", "")</f>
        <v/>
      </c>
      <c r="AD367" s="12" t="s">
        <v>701</v>
      </c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</row>
    <row r="368" spans="1:43" ht="13.5">
      <c r="A368" s="11" t="s">
        <v>386</v>
      </c>
      <c r="B368" s="12" t="s">
        <v>605</v>
      </c>
      <c r="C368" s="12" t="s">
        <v>701</v>
      </c>
      <c r="D368" s="12" t="s">
        <v>701</v>
      </c>
      <c r="E368" s="12"/>
      <c r="F368" s="12"/>
      <c r="G368" s="12"/>
      <c r="H368" s="12" t="s">
        <v>701</v>
      </c>
      <c r="I368" s="12" t="s">
        <v>701</v>
      </c>
      <c r="J368" s="12" t="s">
        <v>701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 t="s">
        <v>701</v>
      </c>
      <c r="W368" s="12"/>
      <c r="X368" s="12"/>
      <c r="Y368" s="12"/>
      <c r="Z368" s="12"/>
      <c r="AA368" s="12" t="s">
        <v>701</v>
      </c>
      <c r="AB368" s="12"/>
      <c r="AC368" s="12" t="str">
        <f>IF(OR(NOT(ISBLANK(AF368)), NOT(ISBLANK(AG368)), NOT(ISBLANK(AQ368)), NOT(ISBLANK(AN368))), "x", "")</f>
        <v>x</v>
      </c>
      <c r="AD368" s="12" t="s">
        <v>701</v>
      </c>
      <c r="AE368" s="12" t="s">
        <v>701</v>
      </c>
      <c r="AF368" s="12"/>
      <c r="AG368" s="12"/>
      <c r="AH368" s="12"/>
      <c r="AI368" s="12"/>
      <c r="AJ368" s="12"/>
      <c r="AK368" s="12"/>
      <c r="AL368" s="12"/>
      <c r="AM368" s="12" t="s">
        <v>701</v>
      </c>
      <c r="AN368" s="12"/>
      <c r="AO368" s="12" t="s">
        <v>701</v>
      </c>
      <c r="AP368" s="12" t="s">
        <v>701</v>
      </c>
      <c r="AQ368" s="12" t="s">
        <v>701</v>
      </c>
    </row>
    <row r="369" spans="1:43" ht="13.5">
      <c r="A369" s="11" t="s">
        <v>387</v>
      </c>
      <c r="B369" s="12" t="s">
        <v>596</v>
      </c>
      <c r="C369" s="12" t="s">
        <v>701</v>
      </c>
      <c r="D369" s="12" t="s">
        <v>701</v>
      </c>
      <c r="E369" s="12"/>
      <c r="F369" s="12" t="s">
        <v>701</v>
      </c>
      <c r="G369" s="12" t="s">
        <v>701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 t="s">
        <v>701</v>
      </c>
      <c r="T369" s="12"/>
      <c r="U369" s="12"/>
      <c r="V369" s="12" t="s">
        <v>701</v>
      </c>
      <c r="W369" s="12"/>
      <c r="X369" s="12"/>
      <c r="Y369" s="12"/>
      <c r="Z369" s="12" t="s">
        <v>701</v>
      </c>
      <c r="AA369" s="12" t="s">
        <v>701</v>
      </c>
      <c r="AB369" s="12"/>
      <c r="AC369" s="12" t="str">
        <f>IF(OR(NOT(ISBLANK(AF369)), NOT(ISBLANK(AG369)), NOT(ISBLANK(AQ369)), NOT(ISBLANK(AN369))), "x", "")</f>
        <v>x</v>
      </c>
      <c r="AD369" s="12"/>
      <c r="AE369" s="12"/>
      <c r="AF369" s="12"/>
      <c r="AG369" s="12" t="s">
        <v>701</v>
      </c>
      <c r="AH369" s="12"/>
      <c r="AI369" s="12"/>
      <c r="AJ369" s="12"/>
      <c r="AK369" s="12"/>
      <c r="AL369" s="12"/>
      <c r="AM369" s="12" t="s">
        <v>701</v>
      </c>
      <c r="AN369" s="12"/>
      <c r="AO369" s="12" t="s">
        <v>701</v>
      </c>
      <c r="AP369" s="12"/>
      <c r="AQ369" s="12"/>
    </row>
    <row r="370" spans="1:43" ht="13.5">
      <c r="A370" s="11" t="s">
        <v>388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 t="str" cm="1">
        <f t="array" ref="AC370">IF(OR(NOT(ISBLANK(AG37x)), NOT(ISBLANK(AH37x)), NOT(ISBLANK(AR37x)), NOT(ISBLANK(AO37x))), "x", "")</f>
        <v>x</v>
      </c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</row>
    <row r="371" spans="1:43" ht="13.5">
      <c r="A371" s="11" t="s">
        <v>389</v>
      </c>
      <c r="B371" s="12" t="s">
        <v>587</v>
      </c>
      <c r="C371" s="12"/>
      <c r="D371" s="12" t="s">
        <v>701</v>
      </c>
      <c r="E371" s="12"/>
      <c r="F371" s="12" t="s">
        <v>701</v>
      </c>
      <c r="G371" s="12" t="s">
        <v>701</v>
      </c>
      <c r="H371" s="12" t="s">
        <v>701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 t="s">
        <v>701</v>
      </c>
      <c r="T371" s="12"/>
      <c r="U371" s="12"/>
      <c r="V371" s="12"/>
      <c r="W371" s="12" t="s">
        <v>701</v>
      </c>
      <c r="X371" s="12"/>
      <c r="Y371" s="12"/>
      <c r="Z371" s="12"/>
      <c r="AA371" s="12"/>
      <c r="AB371" s="12"/>
      <c r="AC371" s="12" t="str">
        <f>IF(OR(NOT(ISBLANK(AF371)), NOT(ISBLANK(AG371)), NOT(ISBLANK(AQ371)), NOT(ISBLANK(AN371))), "x", "")</f>
        <v/>
      </c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</row>
    <row r="372" spans="1:43" ht="13.5">
      <c r="A372" s="11" t="s">
        <v>390</v>
      </c>
      <c r="B372" s="12" t="s">
        <v>588</v>
      </c>
      <c r="C372" s="12" t="s">
        <v>701</v>
      </c>
      <c r="D372" s="12" t="s">
        <v>701</v>
      </c>
      <c r="E372" s="12"/>
      <c r="F372" s="12"/>
      <c r="G372" s="12" t="s">
        <v>701</v>
      </c>
      <c r="H372" s="12"/>
      <c r="I372" s="12" t="s">
        <v>701</v>
      </c>
      <c r="J372" s="12"/>
      <c r="K372" s="12"/>
      <c r="L372" s="12"/>
      <c r="M372" s="12"/>
      <c r="N372" s="12"/>
      <c r="O372" s="12" t="s">
        <v>701</v>
      </c>
      <c r="P372" s="12"/>
      <c r="Q372" s="12"/>
      <c r="R372" s="12"/>
      <c r="S372" s="12" t="s">
        <v>701</v>
      </c>
      <c r="T372" s="12"/>
      <c r="U372" s="12"/>
      <c r="V372" s="12" t="s">
        <v>701</v>
      </c>
      <c r="W372" s="12" t="s">
        <v>701</v>
      </c>
      <c r="X372" s="12" t="s">
        <v>701</v>
      </c>
      <c r="Y372" s="12" t="s">
        <v>701</v>
      </c>
      <c r="Z372" s="12" t="s">
        <v>701</v>
      </c>
      <c r="AA372" s="12" t="s">
        <v>701</v>
      </c>
      <c r="AB372" s="12" t="s">
        <v>701</v>
      </c>
      <c r="AC372" s="12" t="str">
        <f>IF(OR(NOT(ISBLANK(AF372)), NOT(ISBLANK(AG372)), NOT(ISBLANK(AQ372)), NOT(ISBLANK(AN372))), "x", "")</f>
        <v/>
      </c>
      <c r="AD372" s="12" t="s">
        <v>701</v>
      </c>
      <c r="AE372" s="12"/>
      <c r="AF372" s="12"/>
      <c r="AG372" s="12"/>
      <c r="AH372" s="12"/>
      <c r="AI372" s="12"/>
      <c r="AJ372" s="12"/>
      <c r="AK372" s="12"/>
      <c r="AL372" s="12"/>
      <c r="AM372" s="12" t="s">
        <v>701</v>
      </c>
      <c r="AN372" s="12"/>
      <c r="AO372" s="12"/>
      <c r="AP372" s="12"/>
      <c r="AQ372" s="12"/>
    </row>
    <row r="373" spans="1:43" ht="13.5">
      <c r="A373" s="11" t="s">
        <v>391</v>
      </c>
      <c r="B373" s="12" t="s">
        <v>598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 t="str">
        <f>IF(OR(NOT(ISBLANK(AF373)), NOT(ISBLANK(AG373)), NOT(ISBLANK(AQ373)), NOT(ISBLANK(AN373))), "x", "")</f>
        <v/>
      </c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</row>
    <row r="374" spans="1:43" ht="13.5">
      <c r="A374" s="11" t="s">
        <v>392</v>
      </c>
      <c r="B374" s="12" t="s">
        <v>595</v>
      </c>
      <c r="C374" s="12" t="s">
        <v>701</v>
      </c>
      <c r="D374" s="12" t="s">
        <v>701</v>
      </c>
      <c r="E374" s="12"/>
      <c r="F374" s="12"/>
      <c r="G374" s="12" t="s">
        <v>701</v>
      </c>
      <c r="H374" s="12" t="s">
        <v>701</v>
      </c>
      <c r="I374" s="12" t="s">
        <v>701</v>
      </c>
      <c r="J374" s="12"/>
      <c r="K374" s="12"/>
      <c r="L374" s="12"/>
      <c r="M374" s="12" t="s">
        <v>701</v>
      </c>
      <c r="N374" s="12"/>
      <c r="O374" s="12" t="s">
        <v>701</v>
      </c>
      <c r="P374" s="12"/>
      <c r="Q374" s="12"/>
      <c r="R374" s="12" t="s">
        <v>701</v>
      </c>
      <c r="S374" s="12"/>
      <c r="T374" s="12"/>
      <c r="U374" s="12"/>
      <c r="V374" s="12" t="s">
        <v>701</v>
      </c>
      <c r="W374" s="12"/>
      <c r="X374" s="12" t="s">
        <v>701</v>
      </c>
      <c r="Y374" s="12" t="s">
        <v>701</v>
      </c>
      <c r="Z374" s="12" t="s">
        <v>701</v>
      </c>
      <c r="AA374" s="12"/>
      <c r="AB374" s="12"/>
      <c r="AC374" s="12" t="str">
        <f>IF(OR(NOT(ISBLANK(AF374)), NOT(ISBLANK(AG374)), NOT(ISBLANK(AQ374)), NOT(ISBLANK(AN374))), "x", "")</f>
        <v>x</v>
      </c>
      <c r="AD374" s="12"/>
      <c r="AE374" s="12"/>
      <c r="AF374" s="12"/>
      <c r="AG374" s="12" t="s">
        <v>701</v>
      </c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</row>
    <row r="375" spans="1:43" ht="13.5">
      <c r="A375" s="11" t="s">
        <v>393</v>
      </c>
      <c r="B375" s="12" t="s">
        <v>598</v>
      </c>
      <c r="C375" s="12" t="s">
        <v>701</v>
      </c>
      <c r="D375" s="12" t="s">
        <v>701</v>
      </c>
      <c r="E375" s="12"/>
      <c r="F375" s="12" t="s">
        <v>701</v>
      </c>
      <c r="G375" s="12" t="s">
        <v>701</v>
      </c>
      <c r="H375" s="12" t="s">
        <v>701</v>
      </c>
      <c r="I375" s="12" t="s">
        <v>701</v>
      </c>
      <c r="J375" s="12"/>
      <c r="K375" s="12"/>
      <c r="L375" s="12"/>
      <c r="M375" s="12" t="s">
        <v>701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 t="s">
        <v>701</v>
      </c>
      <c r="Z375" s="12" t="s">
        <v>701</v>
      </c>
      <c r="AA375" s="12" t="s">
        <v>701</v>
      </c>
      <c r="AB375" s="12"/>
      <c r="AC375" s="12" t="str">
        <f>IF(OR(NOT(ISBLANK(AF375)), NOT(ISBLANK(AG375)), NOT(ISBLANK(AQ375)), NOT(ISBLANK(AN375))), "x", "")</f>
        <v>x</v>
      </c>
      <c r="AD375" s="12" t="s">
        <v>701</v>
      </c>
      <c r="AE375" s="12"/>
      <c r="AF375" s="12"/>
      <c r="AG375" s="12" t="s">
        <v>701</v>
      </c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</row>
    <row r="376" spans="1:43" ht="13.5">
      <c r="A376" s="11" t="s">
        <v>394</v>
      </c>
      <c r="B376" s="12" t="s">
        <v>604</v>
      </c>
      <c r="C376" s="12" t="s">
        <v>701</v>
      </c>
      <c r="D376" s="12"/>
      <c r="E376" s="12"/>
      <c r="F376" s="12" t="s">
        <v>701</v>
      </c>
      <c r="G376" s="12" t="s">
        <v>701</v>
      </c>
      <c r="H376" s="12" t="s">
        <v>701</v>
      </c>
      <c r="I376" s="12" t="s">
        <v>701</v>
      </c>
      <c r="J376" s="12" t="s">
        <v>701</v>
      </c>
      <c r="K376" s="12"/>
      <c r="L376" s="12"/>
      <c r="M376" s="12" t="s">
        <v>701</v>
      </c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 t="s">
        <v>701</v>
      </c>
      <c r="Z376" s="12" t="s">
        <v>701</v>
      </c>
      <c r="AA376" s="12" t="s">
        <v>701</v>
      </c>
      <c r="AB376" s="12"/>
      <c r="AC376" s="12" t="str">
        <f>IF(OR(NOT(ISBLANK(AF376)), NOT(ISBLANK(AG376)), NOT(ISBLANK(AQ376)), NOT(ISBLANK(AN376))), "x", "")</f>
        <v/>
      </c>
      <c r="AD376" s="12" t="s">
        <v>701</v>
      </c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</row>
    <row r="377" spans="1:43" ht="13.5">
      <c r="A377" s="11" t="s">
        <v>395</v>
      </c>
      <c r="B377" s="12" t="s">
        <v>589</v>
      </c>
      <c r="C377" s="12" t="s">
        <v>701</v>
      </c>
      <c r="D377" s="12"/>
      <c r="E377" s="12"/>
      <c r="F377" s="12" t="s">
        <v>701</v>
      </c>
      <c r="G377" s="12" t="s">
        <v>701</v>
      </c>
      <c r="H377" s="12" t="s">
        <v>701</v>
      </c>
      <c r="I377" s="12" t="s">
        <v>701</v>
      </c>
      <c r="J377" s="12" t="s">
        <v>701</v>
      </c>
      <c r="K377" s="12"/>
      <c r="L377" s="12"/>
      <c r="M377" s="12" t="s">
        <v>701</v>
      </c>
      <c r="N377" s="12"/>
      <c r="O377" s="12"/>
      <c r="P377" s="12"/>
      <c r="Q377" s="12"/>
      <c r="R377" s="12"/>
      <c r="S377" s="12"/>
      <c r="T377" s="12"/>
      <c r="U377" s="12"/>
      <c r="V377" s="12" t="s">
        <v>701</v>
      </c>
      <c r="W377" s="12"/>
      <c r="X377" s="12"/>
      <c r="Y377" s="12" t="s">
        <v>701</v>
      </c>
      <c r="Z377" s="12" t="s">
        <v>701</v>
      </c>
      <c r="AA377" s="12" t="s">
        <v>701</v>
      </c>
      <c r="AB377" s="12"/>
      <c r="AC377" s="12" t="str">
        <f>IF(OR(NOT(ISBLANK(AF377)), NOT(ISBLANK(AG377)), NOT(ISBLANK(AQ377)), NOT(ISBLANK(AN377))), "x", "")</f>
        <v/>
      </c>
      <c r="AD377" s="12" t="s">
        <v>701</v>
      </c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</row>
    <row r="378" spans="1:43" ht="13.5">
      <c r="A378" s="11" t="s">
        <v>396</v>
      </c>
      <c r="B378" s="12" t="s">
        <v>596</v>
      </c>
      <c r="C378" s="12" t="s">
        <v>701</v>
      </c>
      <c r="D378" s="12" t="s">
        <v>701</v>
      </c>
      <c r="E378" s="12"/>
      <c r="F378" s="12" t="s">
        <v>701</v>
      </c>
      <c r="G378" s="12" t="s">
        <v>701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 t="s">
        <v>701</v>
      </c>
      <c r="T378" s="12"/>
      <c r="U378" s="12"/>
      <c r="V378" s="12" t="s">
        <v>701</v>
      </c>
      <c r="W378" s="12"/>
      <c r="X378" s="12"/>
      <c r="Y378" s="12"/>
      <c r="Z378" s="12"/>
      <c r="AA378" s="12"/>
      <c r="AB378" s="12"/>
      <c r="AC378" s="12" t="str">
        <f>IF(OR(NOT(ISBLANK(AF378)), NOT(ISBLANK(AG378)), NOT(ISBLANK(AQ378)), NOT(ISBLANK(AN378))), "x", "")</f>
        <v/>
      </c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</row>
    <row r="379" spans="1:43" ht="13.5">
      <c r="A379" s="11" t="s">
        <v>397</v>
      </c>
      <c r="B379" s="12" t="s">
        <v>589</v>
      </c>
      <c r="C379" s="12" t="s">
        <v>701</v>
      </c>
      <c r="D379" s="12" t="s">
        <v>701</v>
      </c>
      <c r="E379" s="12"/>
      <c r="F379" s="12"/>
      <c r="G379" s="12" t="s">
        <v>701</v>
      </c>
      <c r="H379" s="12"/>
      <c r="I379" s="12" t="s">
        <v>701</v>
      </c>
      <c r="J379" s="12"/>
      <c r="K379" s="12"/>
      <c r="L379" s="12"/>
      <c r="M379" s="12"/>
      <c r="N379" s="12"/>
      <c r="O379" s="12" t="s">
        <v>701</v>
      </c>
      <c r="P379" s="12"/>
      <c r="Q379" s="12" t="s">
        <v>701</v>
      </c>
      <c r="R379" s="12"/>
      <c r="S379" s="12" t="s">
        <v>701</v>
      </c>
      <c r="T379" s="12"/>
      <c r="U379" s="12"/>
      <c r="V379" s="12" t="s">
        <v>701</v>
      </c>
      <c r="W379" s="12" t="s">
        <v>701</v>
      </c>
      <c r="X379" s="12" t="s">
        <v>701</v>
      </c>
      <c r="Y379" s="12" t="s">
        <v>701</v>
      </c>
      <c r="Z379" s="12" t="s">
        <v>701</v>
      </c>
      <c r="AA379" s="12"/>
      <c r="AB379" s="12"/>
      <c r="AC379" s="12" t="str">
        <f>IF(OR(NOT(ISBLANK(AF379)), NOT(ISBLANK(AG379)), NOT(ISBLANK(AQ379)), NOT(ISBLANK(AN379))), "x", "")</f>
        <v/>
      </c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</row>
    <row r="380" spans="1:43" ht="13.5">
      <c r="A380" s="11" t="s">
        <v>398</v>
      </c>
      <c r="B380" s="12" t="s">
        <v>593</v>
      </c>
      <c r="C380" s="12" t="s">
        <v>701</v>
      </c>
      <c r="D380" s="12" t="s">
        <v>701</v>
      </c>
      <c r="E380" s="12"/>
      <c r="F380" s="12"/>
      <c r="G380" s="12" t="s">
        <v>701</v>
      </c>
      <c r="H380" s="12" t="s">
        <v>701</v>
      </c>
      <c r="I380" s="12" t="s">
        <v>701</v>
      </c>
      <c r="J380" s="12" t="s">
        <v>701</v>
      </c>
      <c r="K380" s="12"/>
      <c r="L380" s="12"/>
      <c r="M380" s="12"/>
      <c r="N380" s="12"/>
      <c r="O380" s="12" t="s">
        <v>701</v>
      </c>
      <c r="P380" s="12"/>
      <c r="Q380" s="12"/>
      <c r="R380" s="12"/>
      <c r="S380" s="12" t="s">
        <v>701</v>
      </c>
      <c r="T380" s="12"/>
      <c r="U380" s="12"/>
      <c r="V380" s="12" t="s">
        <v>701</v>
      </c>
      <c r="W380" s="12" t="s">
        <v>701</v>
      </c>
      <c r="X380" s="12" t="s">
        <v>701</v>
      </c>
      <c r="Y380" s="12" t="s">
        <v>701</v>
      </c>
      <c r="Z380" s="12" t="s">
        <v>701</v>
      </c>
      <c r="AA380" s="12" t="s">
        <v>701</v>
      </c>
      <c r="AB380" s="12" t="s">
        <v>701</v>
      </c>
      <c r="AC380" s="12" t="str" cm="1">
        <f t="array" ref="AC380">IF(OR(NOT(ISBLANK(AG38x)), NOT(ISBLANK(AH38x)), NOT(ISBLANK(AR38x)), NOT(ISBLANK(AO38x))), "x", "")</f>
        <v>x</v>
      </c>
      <c r="AD380" s="12" t="s">
        <v>701</v>
      </c>
      <c r="AE380" s="12"/>
      <c r="AF380" s="12"/>
      <c r="AG380" s="12" t="s">
        <v>701</v>
      </c>
      <c r="AH380" s="12"/>
      <c r="AI380" s="12"/>
      <c r="AJ380" s="12"/>
      <c r="AK380" s="12"/>
      <c r="AL380" s="12"/>
      <c r="AM380" s="12" t="s">
        <v>701</v>
      </c>
      <c r="AN380" s="12"/>
      <c r="AO380" s="12" t="s">
        <v>701</v>
      </c>
      <c r="AP380" s="12" t="s">
        <v>701</v>
      </c>
      <c r="AQ380" s="12"/>
    </row>
    <row r="381" spans="1:43" ht="13.5">
      <c r="A381" s="11" t="s">
        <v>399</v>
      </c>
      <c r="B381" s="12" t="s">
        <v>589</v>
      </c>
      <c r="C381" s="12" t="s">
        <v>701</v>
      </c>
      <c r="D381" s="12" t="s">
        <v>701</v>
      </c>
      <c r="E381" s="12"/>
      <c r="F381" s="12" t="s">
        <v>701</v>
      </c>
      <c r="G381" s="12" t="s">
        <v>701</v>
      </c>
      <c r="H381" s="12" t="s">
        <v>701</v>
      </c>
      <c r="I381" s="12" t="s">
        <v>701</v>
      </c>
      <c r="J381" s="12"/>
      <c r="K381" s="12"/>
      <c r="L381" s="12"/>
      <c r="M381" s="12"/>
      <c r="N381" s="12"/>
      <c r="O381" s="12"/>
      <c r="P381" s="12"/>
      <c r="Q381" s="12" t="s">
        <v>701</v>
      </c>
      <c r="R381" s="12"/>
      <c r="S381" s="12" t="s">
        <v>701</v>
      </c>
      <c r="T381" s="12"/>
      <c r="U381" s="12" t="s">
        <v>701</v>
      </c>
      <c r="V381" s="12" t="s">
        <v>701</v>
      </c>
      <c r="W381" s="12" t="s">
        <v>701</v>
      </c>
      <c r="X381" s="12" t="s">
        <v>701</v>
      </c>
      <c r="Y381" s="12" t="s">
        <v>701</v>
      </c>
      <c r="Z381" s="12"/>
      <c r="AA381" s="12" t="s">
        <v>701</v>
      </c>
      <c r="AB381" s="12"/>
      <c r="AC381" s="12" t="str">
        <f>IF(OR(NOT(ISBLANK(AF381)), NOT(ISBLANK(AG381)), NOT(ISBLANK(AQ381)), NOT(ISBLANK(AN381))), "x", "")</f>
        <v>x</v>
      </c>
      <c r="AD381" s="12" t="s">
        <v>701</v>
      </c>
      <c r="AE381" s="12"/>
      <c r="AF381" s="12"/>
      <c r="AG381" s="12" t="s">
        <v>701</v>
      </c>
      <c r="AH381" s="12"/>
      <c r="AI381" s="12"/>
      <c r="AJ381" s="12"/>
      <c r="AK381" s="12"/>
      <c r="AL381" s="12"/>
      <c r="AM381" s="12" t="s">
        <v>701</v>
      </c>
      <c r="AN381" s="12"/>
      <c r="AO381" s="12" t="s">
        <v>701</v>
      </c>
      <c r="AP381" s="12" t="s">
        <v>701</v>
      </c>
      <c r="AQ381" s="12" t="s">
        <v>701</v>
      </c>
    </row>
    <row r="382" spans="1:43" ht="13.5">
      <c r="A382" s="11" t="s">
        <v>400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 t="str">
        <f>IF(OR(NOT(ISBLANK(AF382)), NOT(ISBLANK(AG382)), NOT(ISBLANK(AQ382)), NOT(ISBLANK(AN382))), "x", "")</f>
        <v/>
      </c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</row>
    <row r="383" spans="1:43" ht="13.5">
      <c r="A383" s="11" t="s">
        <v>401</v>
      </c>
      <c r="B383" s="12" t="s">
        <v>604</v>
      </c>
      <c r="C383" s="12" t="s">
        <v>701</v>
      </c>
      <c r="D383" s="12"/>
      <c r="E383" s="12"/>
      <c r="F383" s="12" t="s">
        <v>701</v>
      </c>
      <c r="G383" s="12" t="s">
        <v>701</v>
      </c>
      <c r="H383" s="12"/>
      <c r="I383" s="12" t="s">
        <v>701</v>
      </c>
      <c r="J383" s="12" t="s">
        <v>701</v>
      </c>
      <c r="K383" s="12" t="s">
        <v>701</v>
      </c>
      <c r="L383" s="12"/>
      <c r="M383" s="12"/>
      <c r="N383" s="12" t="s">
        <v>701</v>
      </c>
      <c r="O383" s="12" t="s">
        <v>701</v>
      </c>
      <c r="P383" s="12"/>
      <c r="Q383" s="12" t="s">
        <v>701</v>
      </c>
      <c r="R383" s="12"/>
      <c r="S383" s="12" t="s">
        <v>701</v>
      </c>
      <c r="T383" s="12"/>
      <c r="U383" s="12"/>
      <c r="V383" s="12" t="s">
        <v>701</v>
      </c>
      <c r="W383" s="12"/>
      <c r="X383" s="12" t="s">
        <v>701</v>
      </c>
      <c r="Y383" s="12" t="s">
        <v>701</v>
      </c>
      <c r="Z383" s="12" t="s">
        <v>701</v>
      </c>
      <c r="AA383" s="12" t="s">
        <v>701</v>
      </c>
      <c r="AB383" s="12"/>
      <c r="AC383" s="12" t="str">
        <f>IF(OR(NOT(ISBLANK(AF383)), NOT(ISBLANK(AG383)), NOT(ISBLANK(AQ383)), NOT(ISBLANK(AN383))), "x", "")</f>
        <v>x</v>
      </c>
      <c r="AD383" s="12" t="s">
        <v>701</v>
      </c>
      <c r="AE383" s="12" t="s">
        <v>701</v>
      </c>
      <c r="AF383" s="12" t="s">
        <v>701</v>
      </c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</row>
    <row r="384" spans="1:43" ht="13.5">
      <c r="A384" s="11" t="s">
        <v>402</v>
      </c>
      <c r="B384" s="12" t="s">
        <v>598</v>
      </c>
      <c r="C384" s="12"/>
      <c r="D384" s="12" t="s">
        <v>701</v>
      </c>
      <c r="E384" s="12"/>
      <c r="F384" s="12" t="s">
        <v>701</v>
      </c>
      <c r="G384" s="12" t="s">
        <v>701</v>
      </c>
      <c r="H384" s="12" t="s">
        <v>701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 t="s">
        <v>701</v>
      </c>
      <c r="T384" s="12"/>
      <c r="U384" s="12"/>
      <c r="V384" s="12"/>
      <c r="W384" s="12" t="s">
        <v>701</v>
      </c>
      <c r="X384" s="12"/>
      <c r="Y384" s="12"/>
      <c r="Z384" s="12" t="s">
        <v>701</v>
      </c>
      <c r="AA384" s="12" t="s">
        <v>701</v>
      </c>
      <c r="AB384" s="12"/>
      <c r="AC384" s="12" t="str">
        <f>IF(OR(NOT(ISBLANK(AF384)), NOT(ISBLANK(AG384)), NOT(ISBLANK(AQ384)), NOT(ISBLANK(AN384))), "x", "")</f>
        <v>x</v>
      </c>
      <c r="AD384" s="12"/>
      <c r="AE384" s="12"/>
      <c r="AF384" s="12"/>
      <c r="AG384" s="12" t="s">
        <v>701</v>
      </c>
      <c r="AH384" s="12"/>
      <c r="AI384" s="12"/>
      <c r="AJ384" s="12"/>
      <c r="AK384" s="12"/>
      <c r="AL384" s="12"/>
      <c r="AM384" s="12" t="s">
        <v>701</v>
      </c>
      <c r="AN384" s="12"/>
      <c r="AO384" s="12" t="s">
        <v>701</v>
      </c>
      <c r="AP384" s="12"/>
      <c r="AQ384" s="12"/>
    </row>
    <row r="385" spans="1:43" ht="13.5">
      <c r="A385" s="11" t="s">
        <v>403</v>
      </c>
      <c r="B385" s="12" t="s">
        <v>595</v>
      </c>
      <c r="C385" s="12"/>
      <c r="D385" s="12" t="s">
        <v>701</v>
      </c>
      <c r="E385" s="12"/>
      <c r="F385" s="12"/>
      <c r="G385" s="12" t="s">
        <v>701</v>
      </c>
      <c r="H385" s="12" t="s">
        <v>701</v>
      </c>
      <c r="I385" s="12" t="s">
        <v>701</v>
      </c>
      <c r="J385" s="12" t="s">
        <v>701</v>
      </c>
      <c r="K385" s="12" t="s">
        <v>701</v>
      </c>
      <c r="L385" s="12"/>
      <c r="M385" s="12"/>
      <c r="N385" s="12"/>
      <c r="O385" s="12" t="s">
        <v>701</v>
      </c>
      <c r="P385" s="12"/>
      <c r="Q385" s="12" t="s">
        <v>701</v>
      </c>
      <c r="R385" s="12"/>
      <c r="S385" s="12"/>
      <c r="T385" s="12"/>
      <c r="U385" s="12"/>
      <c r="V385" s="12" t="s">
        <v>701</v>
      </c>
      <c r="W385" s="12" t="s">
        <v>701</v>
      </c>
      <c r="X385" s="12" t="s">
        <v>701</v>
      </c>
      <c r="Y385" s="12" t="s">
        <v>701</v>
      </c>
      <c r="Z385" s="12"/>
      <c r="AA385" s="12"/>
      <c r="AB385" s="12"/>
      <c r="AC385" s="12" t="str">
        <f>IF(OR(NOT(ISBLANK(AF385)), NOT(ISBLANK(AG385)), NOT(ISBLANK(AQ385)), NOT(ISBLANK(AN385))), "x", "")</f>
        <v>x</v>
      </c>
      <c r="AD385" s="12" t="s">
        <v>701</v>
      </c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 t="s">
        <v>701</v>
      </c>
      <c r="AQ385" s="12" t="s">
        <v>701</v>
      </c>
    </row>
    <row r="386" spans="1:43" ht="13.5">
      <c r="A386" s="11" t="s">
        <v>404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 t="str">
        <f>IF(OR(NOT(ISBLANK(AF386)), NOT(ISBLANK(AG386)), NOT(ISBLANK(AQ386)), NOT(ISBLANK(AN386))), "x", "")</f>
        <v/>
      </c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</row>
    <row r="387" spans="1:43" ht="13.5">
      <c r="A387" s="11" t="s">
        <v>405</v>
      </c>
      <c r="B387" s="12" t="s">
        <v>604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 t="str">
        <f>IF(OR(NOT(ISBLANK(AF387)), NOT(ISBLANK(AG387)), NOT(ISBLANK(AQ387)), NOT(ISBLANK(AN387))), "x", "")</f>
        <v/>
      </c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</row>
    <row r="388" spans="1:43" ht="13.5">
      <c r="A388" s="11" t="s">
        <v>406</v>
      </c>
      <c r="B388" s="12" t="s">
        <v>590</v>
      </c>
      <c r="C388" s="12" t="s">
        <v>701</v>
      </c>
      <c r="D388" s="12"/>
      <c r="E388" s="12"/>
      <c r="F388" s="12"/>
      <c r="G388" s="12" t="s">
        <v>701</v>
      </c>
      <c r="H388" s="12"/>
      <c r="I388" s="12"/>
      <c r="J388" s="12"/>
      <c r="K388" s="12"/>
      <c r="L388" s="12"/>
      <c r="M388" s="12"/>
      <c r="N388" s="12"/>
      <c r="O388" s="12" t="s">
        <v>701</v>
      </c>
      <c r="P388" s="12"/>
      <c r="Q388" s="12" t="s">
        <v>701</v>
      </c>
      <c r="R388" s="12"/>
      <c r="S388" s="12" t="s">
        <v>701</v>
      </c>
      <c r="T388" s="12"/>
      <c r="U388" s="12"/>
      <c r="V388" s="12"/>
      <c r="W388" s="12" t="s">
        <v>701</v>
      </c>
      <c r="X388" s="12"/>
      <c r="Y388" s="12"/>
      <c r="Z388" s="12"/>
      <c r="AA388" s="12"/>
      <c r="AB388" s="12"/>
      <c r="AC388" s="12" t="str">
        <f>IF(OR(NOT(ISBLANK(AF388)), NOT(ISBLANK(AG388)), NOT(ISBLANK(AQ388)), NOT(ISBLANK(AN388))), "x", "")</f>
        <v/>
      </c>
      <c r="AD388" s="12" t="s">
        <v>701</v>
      </c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</row>
    <row r="389" spans="1:43" ht="13.5">
      <c r="A389" s="11" t="s">
        <v>407</v>
      </c>
      <c r="B389" s="12" t="s">
        <v>590</v>
      </c>
      <c r="C389" s="12" t="s">
        <v>701</v>
      </c>
      <c r="D389" s="12"/>
      <c r="E389" s="12"/>
      <c r="F389" s="12"/>
      <c r="G389" s="12" t="s">
        <v>701</v>
      </c>
      <c r="H389" s="12"/>
      <c r="I389" s="12"/>
      <c r="J389" s="12"/>
      <c r="K389" s="12"/>
      <c r="L389" s="12"/>
      <c r="M389" s="12"/>
      <c r="N389" s="12"/>
      <c r="O389" s="12" t="s">
        <v>701</v>
      </c>
      <c r="P389" s="12"/>
      <c r="Q389" s="12" t="s">
        <v>701</v>
      </c>
      <c r="R389" s="12"/>
      <c r="S389" s="12" t="s">
        <v>701</v>
      </c>
      <c r="T389" s="12"/>
      <c r="U389" s="12"/>
      <c r="V389" s="12"/>
      <c r="W389" s="12" t="s">
        <v>701</v>
      </c>
      <c r="X389" s="12"/>
      <c r="Y389" s="12"/>
      <c r="Z389" s="12"/>
      <c r="AA389" s="12"/>
      <c r="AB389" s="12"/>
      <c r="AC389" s="12" t="str">
        <f>IF(OR(NOT(ISBLANK(AF389)), NOT(ISBLANK(AG389)), NOT(ISBLANK(AQ389)), NOT(ISBLANK(AN389))), "x", "")</f>
        <v/>
      </c>
      <c r="AD389" s="12" t="s">
        <v>701</v>
      </c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</row>
    <row r="390" spans="1:43" ht="13.5">
      <c r="A390" s="11" t="s">
        <v>408</v>
      </c>
      <c r="B390" s="12" t="s">
        <v>587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 t="str" cm="1">
        <f t="array" ref="AC390">IF(OR(NOT(ISBLANK(AG39x)), NOT(ISBLANK(AH39x)), NOT(ISBLANK(AR39x)), NOT(ISBLANK(AO39x))), "x", "")</f>
        <v>x</v>
      </c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</row>
    <row r="391" spans="1:43" ht="13.5">
      <c r="A391" s="11" t="s">
        <v>409</v>
      </c>
      <c r="B391" s="12" t="s">
        <v>595</v>
      </c>
      <c r="C391" s="12"/>
      <c r="D391" s="12"/>
      <c r="E391" s="12"/>
      <c r="F391" s="12" t="s">
        <v>701</v>
      </c>
      <c r="G391" s="12" t="s">
        <v>701</v>
      </c>
      <c r="H391" s="12" t="s">
        <v>701</v>
      </c>
      <c r="I391" s="12" t="s">
        <v>701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 t="str">
        <f>IF(OR(NOT(ISBLANK(AF391)), NOT(ISBLANK(AG391)), NOT(ISBLANK(AQ391)), NOT(ISBLANK(AN391))), "x", "")</f>
        <v/>
      </c>
      <c r="AD391" s="12" t="s">
        <v>701</v>
      </c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</row>
    <row r="392" spans="1:43" ht="13.5">
      <c r="A392" s="11" t="s">
        <v>410</v>
      </c>
      <c r="B392" s="12" t="s">
        <v>595</v>
      </c>
      <c r="C392" s="12"/>
      <c r="D392" s="12"/>
      <c r="E392" s="12"/>
      <c r="F392" s="12" t="s">
        <v>701</v>
      </c>
      <c r="G392" s="12" t="s">
        <v>701</v>
      </c>
      <c r="H392" s="12" t="s">
        <v>701</v>
      </c>
      <c r="I392" s="12" t="s">
        <v>701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 t="str">
        <f>IF(OR(NOT(ISBLANK(AF392)), NOT(ISBLANK(AG392)), NOT(ISBLANK(AQ392)), NOT(ISBLANK(AN392))), "x", "")</f>
        <v/>
      </c>
      <c r="AD392" s="12" t="s">
        <v>701</v>
      </c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</row>
    <row r="393" spans="1:43" ht="13.5">
      <c r="A393" s="11" t="s">
        <v>411</v>
      </c>
      <c r="B393" s="12" t="s">
        <v>595</v>
      </c>
      <c r="C393" s="12"/>
      <c r="D393" s="12"/>
      <c r="E393" s="12"/>
      <c r="F393" s="12" t="s">
        <v>701</v>
      </c>
      <c r="G393" s="12" t="s">
        <v>701</v>
      </c>
      <c r="H393" s="12" t="s">
        <v>701</v>
      </c>
      <c r="I393" s="12" t="s">
        <v>701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 t="str">
        <f>IF(OR(NOT(ISBLANK(AF393)), NOT(ISBLANK(AG393)), NOT(ISBLANK(AQ393)), NOT(ISBLANK(AN393))), "x", "")</f>
        <v/>
      </c>
      <c r="AD393" s="12" t="s">
        <v>701</v>
      </c>
      <c r="AE393" s="12"/>
      <c r="AF393" s="12"/>
      <c r="AG393" s="12"/>
      <c r="AH393" s="12"/>
      <c r="AI393" s="12"/>
      <c r="AJ393" s="12"/>
      <c r="AK393" s="12"/>
      <c r="AL393" s="12"/>
      <c r="AM393" s="12" t="s">
        <v>701</v>
      </c>
      <c r="AN393" s="12"/>
      <c r="AO393" s="12" t="s">
        <v>701</v>
      </c>
      <c r="AP393" s="12"/>
      <c r="AQ393" s="12"/>
    </row>
    <row r="394" spans="1:43" ht="13.5">
      <c r="A394" s="11" t="s">
        <v>412</v>
      </c>
      <c r="B394" s="12" t="s">
        <v>595</v>
      </c>
      <c r="C394" s="12"/>
      <c r="D394" s="12"/>
      <c r="E394" s="12"/>
      <c r="F394" s="12" t="s">
        <v>701</v>
      </c>
      <c r="G394" s="12" t="s">
        <v>701</v>
      </c>
      <c r="H394" s="12" t="s">
        <v>701</v>
      </c>
      <c r="I394" s="12" t="s">
        <v>701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 t="str">
        <f>IF(OR(NOT(ISBLANK(AF394)), NOT(ISBLANK(AG394)), NOT(ISBLANK(AQ394)), NOT(ISBLANK(AN394))), "x", "")</f>
        <v/>
      </c>
      <c r="AD394" s="12" t="s">
        <v>701</v>
      </c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</row>
    <row r="395" spans="1:43" ht="13.5">
      <c r="A395" s="11" t="s">
        <v>413</v>
      </c>
      <c r="B395" s="12" t="s">
        <v>595</v>
      </c>
      <c r="C395" s="12"/>
      <c r="D395" s="12"/>
      <c r="E395" s="12"/>
      <c r="F395" s="12" t="s">
        <v>701</v>
      </c>
      <c r="G395" s="12" t="s">
        <v>701</v>
      </c>
      <c r="H395" s="12" t="s">
        <v>701</v>
      </c>
      <c r="I395" s="12" t="s">
        <v>701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 t="str">
        <f>IF(OR(NOT(ISBLANK(AF395)), NOT(ISBLANK(AG395)), NOT(ISBLANK(AQ395)), NOT(ISBLANK(AN395))), "x", "")</f>
        <v/>
      </c>
      <c r="AD395" s="12" t="s">
        <v>701</v>
      </c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</row>
    <row r="396" spans="1:43" ht="13.5">
      <c r="A396" s="11" t="s">
        <v>414</v>
      </c>
      <c r="B396" s="12" t="s">
        <v>595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 t="str">
        <f>IF(OR(NOT(ISBLANK(AF396)), NOT(ISBLANK(AG396)), NOT(ISBLANK(AQ396)), NOT(ISBLANK(AN396))), "x", "")</f>
        <v/>
      </c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</row>
    <row r="397" spans="1:43" ht="13.5">
      <c r="A397" s="11" t="s">
        <v>415</v>
      </c>
      <c r="B397" s="12" t="s">
        <v>587</v>
      </c>
      <c r="C397" s="12"/>
      <c r="D397" s="12"/>
      <c r="E397" s="12"/>
      <c r="F397" s="12" t="s">
        <v>701</v>
      </c>
      <c r="G397" s="12" t="s">
        <v>701</v>
      </c>
      <c r="H397" s="12" t="s">
        <v>701</v>
      </c>
      <c r="I397" s="12" t="s">
        <v>701</v>
      </c>
      <c r="J397" s="12"/>
      <c r="K397" s="12"/>
      <c r="L397" s="12"/>
      <c r="M397" s="12" t="s">
        <v>701</v>
      </c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 t="str">
        <f>IF(OR(NOT(ISBLANK(AF397)), NOT(ISBLANK(AG397)), NOT(ISBLANK(AQ397)), NOT(ISBLANK(AN397))), "x", "")</f>
        <v/>
      </c>
      <c r="AD397" s="12" t="s">
        <v>701</v>
      </c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</row>
    <row r="398" spans="1:43" ht="13.5">
      <c r="A398" s="11" t="s">
        <v>416</v>
      </c>
      <c r="B398" s="12" t="s">
        <v>587</v>
      </c>
      <c r="C398" s="12"/>
      <c r="D398" s="12"/>
      <c r="E398" s="12"/>
      <c r="F398" s="12" t="s">
        <v>701</v>
      </c>
      <c r="G398" s="12" t="s">
        <v>701</v>
      </c>
      <c r="H398" s="12" t="s">
        <v>701</v>
      </c>
      <c r="I398" s="12" t="s">
        <v>701</v>
      </c>
      <c r="J398" s="12"/>
      <c r="K398" s="12"/>
      <c r="L398" s="12"/>
      <c r="M398" s="12" t="s">
        <v>701</v>
      </c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 t="str">
        <f>IF(OR(NOT(ISBLANK(AF398)), NOT(ISBLANK(AG398)), NOT(ISBLANK(AQ398)), NOT(ISBLANK(AN398))), "x", "")</f>
        <v/>
      </c>
      <c r="AD398" s="12" t="s">
        <v>701</v>
      </c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</row>
    <row r="399" spans="1:43" ht="13.5">
      <c r="A399" s="11" t="s">
        <v>417</v>
      </c>
      <c r="B399" s="12" t="s">
        <v>595</v>
      </c>
      <c r="C399" s="12"/>
      <c r="D399" s="12"/>
      <c r="E399" s="12"/>
      <c r="F399" s="12" t="s">
        <v>701</v>
      </c>
      <c r="G399" s="12" t="s">
        <v>701</v>
      </c>
      <c r="H399" s="12" t="s">
        <v>701</v>
      </c>
      <c r="I399" s="12" t="s">
        <v>701</v>
      </c>
      <c r="J399" s="12" t="s">
        <v>701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 t="str">
        <f>IF(OR(NOT(ISBLANK(AF399)), NOT(ISBLANK(AG399)), NOT(ISBLANK(AQ399)), NOT(ISBLANK(AN399))), "x", "")</f>
        <v/>
      </c>
      <c r="AD399" s="12" t="s">
        <v>701</v>
      </c>
      <c r="AE399" s="12" t="s">
        <v>701</v>
      </c>
      <c r="AF399" s="12"/>
      <c r="AG399" s="12"/>
      <c r="AH399" s="12"/>
      <c r="AI399" s="12"/>
      <c r="AJ399" s="12"/>
      <c r="AK399" s="12"/>
      <c r="AL399" s="12"/>
      <c r="AM399" s="12" t="s">
        <v>701</v>
      </c>
      <c r="AN399" s="12"/>
      <c r="AO399" s="12" t="s">
        <v>701</v>
      </c>
      <c r="AP399" s="12" t="s">
        <v>701</v>
      </c>
      <c r="AQ399" s="12"/>
    </row>
    <row r="400" spans="1:43" ht="13.5">
      <c r="A400" s="11" t="s">
        <v>418</v>
      </c>
      <c r="B400" s="12" t="s">
        <v>595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 t="str" cm="1">
        <f t="array" ref="AC400">IF(OR(NOT(ISBLANK(AG4xx)), NOT(ISBLANK(AH4xx)), NOT(ISBLANK(AR4xx)), NOT(ISBLANK(AO4xx))), "x", "")</f>
        <v>x</v>
      </c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</row>
    <row r="401" spans="1:43" ht="13.5">
      <c r="A401" s="11" t="s">
        <v>419</v>
      </c>
      <c r="B401" s="12" t="s">
        <v>609</v>
      </c>
      <c r="C401" s="12" t="s">
        <v>701</v>
      </c>
      <c r="D401" s="12" t="s">
        <v>701</v>
      </c>
      <c r="E401" s="12"/>
      <c r="F401" s="12" t="s">
        <v>701</v>
      </c>
      <c r="G401" s="12" t="s">
        <v>701</v>
      </c>
      <c r="H401" s="12" t="s">
        <v>701</v>
      </c>
      <c r="I401" s="12"/>
      <c r="J401" s="12"/>
      <c r="K401" s="12"/>
      <c r="L401" s="12"/>
      <c r="M401" s="12" t="s">
        <v>701</v>
      </c>
      <c r="N401" s="12"/>
      <c r="O401" s="12" t="s">
        <v>701</v>
      </c>
      <c r="P401" s="12"/>
      <c r="Q401" s="12" t="s">
        <v>701</v>
      </c>
      <c r="R401" s="12" t="s">
        <v>701</v>
      </c>
      <c r="S401" s="12" t="s">
        <v>701</v>
      </c>
      <c r="T401" s="12"/>
      <c r="U401" s="12" t="s">
        <v>701</v>
      </c>
      <c r="V401" s="12" t="s">
        <v>701</v>
      </c>
      <c r="W401" s="12"/>
      <c r="X401" s="12"/>
      <c r="Y401" s="12" t="s">
        <v>701</v>
      </c>
      <c r="Z401" s="12" t="s">
        <v>701</v>
      </c>
      <c r="AA401" s="12" t="s">
        <v>701</v>
      </c>
      <c r="AB401" s="12"/>
      <c r="AC401" s="12" t="str" cm="1">
        <f t="array" ref="AC401">IF(OR(NOT(ISBLANK(AG4x1)), NOT(ISBLANK(AH4x1)), NOT(ISBLANK(AR4x1)), NOT(ISBLANK(AO4x1))), "x", "")</f>
        <v>x</v>
      </c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</row>
    <row r="402" spans="1:43" ht="13.5">
      <c r="A402" s="11" t="s">
        <v>420</v>
      </c>
      <c r="B402" s="12" t="s">
        <v>609</v>
      </c>
      <c r="C402" s="12" t="s">
        <v>701</v>
      </c>
      <c r="D402" s="12" t="s">
        <v>701</v>
      </c>
      <c r="E402" s="12"/>
      <c r="F402" s="12" t="s">
        <v>701</v>
      </c>
      <c r="G402" s="12" t="s">
        <v>701</v>
      </c>
      <c r="H402" s="12" t="s">
        <v>701</v>
      </c>
      <c r="I402" s="12"/>
      <c r="J402" s="12"/>
      <c r="K402" s="12"/>
      <c r="L402" s="12"/>
      <c r="M402" s="12" t="s">
        <v>701</v>
      </c>
      <c r="N402" s="12"/>
      <c r="O402" s="12" t="s">
        <v>701</v>
      </c>
      <c r="P402" s="12"/>
      <c r="Q402" s="12" t="s">
        <v>701</v>
      </c>
      <c r="R402" s="12" t="s">
        <v>701</v>
      </c>
      <c r="S402" s="12" t="s">
        <v>701</v>
      </c>
      <c r="T402" s="12"/>
      <c r="U402" s="12" t="s">
        <v>701</v>
      </c>
      <c r="V402" s="12" t="s">
        <v>701</v>
      </c>
      <c r="W402" s="12"/>
      <c r="X402" s="12"/>
      <c r="Y402" s="12" t="s">
        <v>701</v>
      </c>
      <c r="Z402" s="12" t="s">
        <v>701</v>
      </c>
      <c r="AA402" s="12" t="s">
        <v>701</v>
      </c>
      <c r="AB402" s="12"/>
      <c r="AC402" s="12" t="str" cm="1">
        <f t="array" ref="AC402">IF(OR(NOT(ISBLANK(AG4x2)), NOT(ISBLANK(AH4x2)), NOT(ISBLANK(AR4x2)), NOT(ISBLANK(AO4x2))), "x", "")</f>
        <v>x</v>
      </c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</row>
    <row r="403" spans="1:43" ht="13.5">
      <c r="A403" s="11" t="s">
        <v>421</v>
      </c>
      <c r="B403" s="12" t="s">
        <v>609</v>
      </c>
      <c r="C403" s="12" t="s">
        <v>701</v>
      </c>
      <c r="D403" s="12" t="s">
        <v>701</v>
      </c>
      <c r="E403" s="12"/>
      <c r="F403" s="12" t="s">
        <v>701</v>
      </c>
      <c r="G403" s="12" t="s">
        <v>701</v>
      </c>
      <c r="H403" s="12" t="s">
        <v>701</v>
      </c>
      <c r="I403" s="12"/>
      <c r="J403" s="12"/>
      <c r="K403" s="12"/>
      <c r="L403" s="12"/>
      <c r="M403" s="12" t="s">
        <v>701</v>
      </c>
      <c r="N403" s="12"/>
      <c r="O403" s="12" t="s">
        <v>701</v>
      </c>
      <c r="P403" s="12"/>
      <c r="Q403" s="12" t="s">
        <v>701</v>
      </c>
      <c r="R403" s="12" t="s">
        <v>701</v>
      </c>
      <c r="S403" s="12" t="s">
        <v>701</v>
      </c>
      <c r="T403" s="12"/>
      <c r="U403" s="12" t="s">
        <v>701</v>
      </c>
      <c r="V403" s="12" t="s">
        <v>701</v>
      </c>
      <c r="W403" s="12"/>
      <c r="X403" s="12"/>
      <c r="Y403" s="12" t="s">
        <v>701</v>
      </c>
      <c r="Z403" s="12" t="s">
        <v>701</v>
      </c>
      <c r="AA403" s="12" t="s">
        <v>701</v>
      </c>
      <c r="AB403" s="12"/>
      <c r="AC403" s="12" t="str" cm="1">
        <f t="array" ref="AC403">IF(OR(NOT(ISBLANK(AG4x3)), NOT(ISBLANK(AH4x3)), NOT(ISBLANK(AR4x3)), NOT(ISBLANK(AO4x3))), "x", "")</f>
        <v>x</v>
      </c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</row>
    <row r="404" spans="1:43" ht="13.5">
      <c r="A404" s="11" t="s">
        <v>422</v>
      </c>
      <c r="B404" s="12" t="s">
        <v>609</v>
      </c>
      <c r="C404" s="12" t="s">
        <v>701</v>
      </c>
      <c r="D404" s="12" t="s">
        <v>701</v>
      </c>
      <c r="E404" s="12"/>
      <c r="F404" s="12" t="s">
        <v>701</v>
      </c>
      <c r="G404" s="12" t="s">
        <v>701</v>
      </c>
      <c r="H404" s="12" t="s">
        <v>701</v>
      </c>
      <c r="I404" s="12"/>
      <c r="J404" s="12"/>
      <c r="K404" s="12"/>
      <c r="L404" s="12"/>
      <c r="M404" s="12" t="s">
        <v>701</v>
      </c>
      <c r="N404" s="12"/>
      <c r="O404" s="12" t="s">
        <v>701</v>
      </c>
      <c r="P404" s="12"/>
      <c r="Q404" s="12" t="s">
        <v>701</v>
      </c>
      <c r="R404" s="12" t="s">
        <v>701</v>
      </c>
      <c r="S404" s="12" t="s">
        <v>701</v>
      </c>
      <c r="T404" s="12"/>
      <c r="U404" s="12" t="s">
        <v>701</v>
      </c>
      <c r="V404" s="12" t="s">
        <v>701</v>
      </c>
      <c r="W404" s="12"/>
      <c r="X404" s="12"/>
      <c r="Y404" s="12" t="s">
        <v>701</v>
      </c>
      <c r="Z404" s="12" t="s">
        <v>701</v>
      </c>
      <c r="AA404" s="12" t="s">
        <v>701</v>
      </c>
      <c r="AB404" s="12"/>
      <c r="AC404" s="12" t="str" cm="1">
        <f t="array" ref="AC404">IF(OR(NOT(ISBLANK(AG4x4)), NOT(ISBLANK(AH4x4)), NOT(ISBLANK(AR4x4)), NOT(ISBLANK(AO4x4))), "x", "")</f>
        <v>x</v>
      </c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</row>
    <row r="405" spans="1:43" ht="13.5">
      <c r="A405" s="11" t="s">
        <v>423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 t="str" cm="1">
        <f t="array" ref="AC405">IF(OR(NOT(ISBLANK(AG4x5)), NOT(ISBLANK(AH4x5)), NOT(ISBLANK(AR4x5)), NOT(ISBLANK(AO4x5))), "x", "")</f>
        <v>x</v>
      </c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</row>
    <row r="406" spans="1:43" ht="13.5">
      <c r="A406" s="11" t="s">
        <v>424</v>
      </c>
      <c r="B406" s="12" t="s">
        <v>587</v>
      </c>
      <c r="C406" s="12"/>
      <c r="D406" s="12" t="s">
        <v>701</v>
      </c>
      <c r="E406" s="12"/>
      <c r="F406" s="12" t="s">
        <v>701</v>
      </c>
      <c r="G406" s="12" t="s">
        <v>701</v>
      </c>
      <c r="H406" s="12" t="s">
        <v>701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 t="s">
        <v>701</v>
      </c>
      <c r="T406" s="12"/>
      <c r="U406" s="12"/>
      <c r="V406" s="12"/>
      <c r="W406" s="12" t="s">
        <v>701</v>
      </c>
      <c r="X406" s="12"/>
      <c r="Y406" s="12"/>
      <c r="Z406" s="12"/>
      <c r="AA406" s="12"/>
      <c r="AB406" s="12"/>
      <c r="AC406" s="12" t="str" cm="1">
        <f t="array" ref="AC406">IF(OR(NOT(ISBLANK(AG4x6)), NOT(ISBLANK(AH4x6)), NOT(ISBLANK(AR4x6)), NOT(ISBLANK(AO4x6))), "x", "")</f>
        <v>x</v>
      </c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</row>
    <row r="407" spans="1:43" ht="13.5">
      <c r="A407" s="11" t="s">
        <v>425</v>
      </c>
      <c r="B407" s="12" t="s">
        <v>589</v>
      </c>
      <c r="C407" s="12"/>
      <c r="D407" s="12"/>
      <c r="E407" s="12"/>
      <c r="F407" s="12" t="s">
        <v>701</v>
      </c>
      <c r="G407" s="12" t="s">
        <v>701</v>
      </c>
      <c r="H407" s="12" t="s">
        <v>701</v>
      </c>
      <c r="I407" s="12"/>
      <c r="J407" s="12" t="s">
        <v>701</v>
      </c>
      <c r="K407" s="12"/>
      <c r="L407" s="12"/>
      <c r="M407" s="12"/>
      <c r="N407" s="12"/>
      <c r="O407" s="12" t="s">
        <v>701</v>
      </c>
      <c r="P407" s="12"/>
      <c r="Q407" s="12"/>
      <c r="R407" s="12"/>
      <c r="S407" s="12"/>
      <c r="T407" s="12"/>
      <c r="U407" s="12"/>
      <c r="V407" s="12"/>
      <c r="W407" s="12"/>
      <c r="X407" s="12" t="s">
        <v>701</v>
      </c>
      <c r="Y407" s="12" t="s">
        <v>701</v>
      </c>
      <c r="Z407" s="12" t="s">
        <v>701</v>
      </c>
      <c r="AA407" s="12"/>
      <c r="AB407" s="12"/>
      <c r="AC407" s="12" t="str" cm="1">
        <f t="array" ref="AC407">IF(OR(NOT(ISBLANK(AG4x7)), NOT(ISBLANK(AH4x7)), NOT(ISBLANK(AR4x7)), NOT(ISBLANK(AO4x7))), "x", "")</f>
        <v>x</v>
      </c>
      <c r="AD407" s="12" t="s">
        <v>701</v>
      </c>
      <c r="AE407" s="12" t="s">
        <v>701</v>
      </c>
      <c r="AF407" s="12" t="s">
        <v>701</v>
      </c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</row>
    <row r="408" spans="1:43" ht="13.5">
      <c r="A408" s="11" t="s">
        <v>426</v>
      </c>
      <c r="B408" s="12" t="s">
        <v>587</v>
      </c>
      <c r="C408" s="12" t="s">
        <v>701</v>
      </c>
      <c r="D408" s="12" t="s">
        <v>701</v>
      </c>
      <c r="E408" s="12"/>
      <c r="F408" s="12" t="s">
        <v>701</v>
      </c>
      <c r="G408" s="12" t="s">
        <v>701</v>
      </c>
      <c r="H408" s="12" t="s">
        <v>701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 t="s">
        <v>701</v>
      </c>
      <c r="T408" s="12"/>
      <c r="U408" s="12"/>
      <c r="V408" s="12"/>
      <c r="W408" s="12" t="s">
        <v>701</v>
      </c>
      <c r="X408" s="12"/>
      <c r="Y408" s="12"/>
      <c r="Z408" s="12"/>
      <c r="AA408" s="12" t="s">
        <v>701</v>
      </c>
      <c r="AB408" s="12"/>
      <c r="AC408" s="12" t="str" cm="1">
        <f t="array" ref="AC408">IF(OR(NOT(ISBLANK(AG4x8)), NOT(ISBLANK(AH4x8)), NOT(ISBLANK(AR4x8)), NOT(ISBLANK(AO4x8))), "x", "")</f>
        <v>x</v>
      </c>
      <c r="AD408" s="12"/>
      <c r="AE408" s="12"/>
      <c r="AF408" s="12" t="s">
        <v>701</v>
      </c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</row>
    <row r="409" spans="1:43" ht="13.5">
      <c r="A409" s="11" t="s">
        <v>427</v>
      </c>
      <c r="B409" s="12" t="s">
        <v>587</v>
      </c>
      <c r="C409" s="12" t="s">
        <v>701</v>
      </c>
      <c r="D409" s="12" t="s">
        <v>701</v>
      </c>
      <c r="E409" s="12"/>
      <c r="F409" s="12" t="s">
        <v>701</v>
      </c>
      <c r="G409" s="12" t="s">
        <v>701</v>
      </c>
      <c r="H409" s="12" t="s">
        <v>701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 t="s">
        <v>701</v>
      </c>
      <c r="T409" s="12"/>
      <c r="U409" s="12"/>
      <c r="V409" s="12" t="s">
        <v>701</v>
      </c>
      <c r="W409" s="12"/>
      <c r="X409" s="12"/>
      <c r="Y409" s="12"/>
      <c r="Z409" s="12" t="s">
        <v>701</v>
      </c>
      <c r="AA409" s="12"/>
      <c r="AB409" s="12"/>
      <c r="AC409" s="12" t="str" cm="1">
        <f t="array" ref="AC409">IF(OR(NOT(ISBLANK(AG4x9)), NOT(ISBLANK(AH4x9)), NOT(ISBLANK(AR4x9)), NOT(ISBLANK(AO4x9))), "x", "")</f>
        <v>x</v>
      </c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</row>
    <row r="410" spans="1:43" ht="13.5">
      <c r="A410" s="11" t="s">
        <v>428</v>
      </c>
      <c r="B410" s="12" t="s">
        <v>598</v>
      </c>
      <c r="C410" s="12" t="s">
        <v>701</v>
      </c>
      <c r="D410" s="12" t="s">
        <v>701</v>
      </c>
      <c r="E410" s="12"/>
      <c r="F410" s="12" t="s">
        <v>701</v>
      </c>
      <c r="G410" s="12" t="s">
        <v>701</v>
      </c>
      <c r="H410" s="12" t="s">
        <v>701</v>
      </c>
      <c r="I410" s="12"/>
      <c r="J410" s="12"/>
      <c r="K410" s="12"/>
      <c r="L410" s="12"/>
      <c r="M410" s="12"/>
      <c r="N410" s="12"/>
      <c r="O410" s="12" t="s">
        <v>701</v>
      </c>
      <c r="P410" s="12"/>
      <c r="Q410" s="12"/>
      <c r="R410" s="12"/>
      <c r="S410" s="12" t="s">
        <v>701</v>
      </c>
      <c r="T410" s="12"/>
      <c r="U410" s="12"/>
      <c r="V410" s="12"/>
      <c r="W410" s="12" t="s">
        <v>701</v>
      </c>
      <c r="X410" s="12"/>
      <c r="Y410" s="12" t="s">
        <v>701</v>
      </c>
      <c r="Z410" s="12" t="s">
        <v>701</v>
      </c>
      <c r="AA410" s="12" t="s">
        <v>701</v>
      </c>
      <c r="AB410" s="12"/>
      <c r="AC410" s="12" t="str" cm="1">
        <f t="array" ref="AC410">IF(OR(NOT(ISBLANK(AG41x)), NOT(ISBLANK(AH41x)), NOT(ISBLANK(AR41x)), NOT(ISBLANK(AO41x))), "x", "")</f>
        <v>x</v>
      </c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</row>
    <row r="411" spans="1:43" ht="13.5">
      <c r="A411" s="11" t="s">
        <v>429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 t="str">
        <f>IF(OR(NOT(ISBLANK(AF411)), NOT(ISBLANK(AG411)), NOT(ISBLANK(AQ411)), NOT(ISBLANK(AN411))), "x", "")</f>
        <v/>
      </c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</row>
    <row r="412" spans="1:43" ht="13.5">
      <c r="A412" s="11" t="s">
        <v>430</v>
      </c>
      <c r="B412" s="12" t="s">
        <v>595</v>
      </c>
      <c r="C412" s="12" t="s">
        <v>701</v>
      </c>
      <c r="D412" s="12" t="s">
        <v>701</v>
      </c>
      <c r="E412" s="12"/>
      <c r="F412" s="12"/>
      <c r="G412" s="12" t="s">
        <v>701</v>
      </c>
      <c r="H412" s="12" t="s">
        <v>701</v>
      </c>
      <c r="I412" s="12" t="s">
        <v>701</v>
      </c>
      <c r="J412" s="12"/>
      <c r="K412" s="12"/>
      <c r="L412" s="12"/>
      <c r="M412" s="12" t="s">
        <v>701</v>
      </c>
      <c r="N412" s="12"/>
      <c r="O412" s="12" t="s">
        <v>701</v>
      </c>
      <c r="P412" s="12"/>
      <c r="Q412" s="12"/>
      <c r="R412" s="12" t="s">
        <v>701</v>
      </c>
      <c r="S412" s="12"/>
      <c r="T412" s="12"/>
      <c r="U412" s="12"/>
      <c r="V412" s="12" t="s">
        <v>701</v>
      </c>
      <c r="W412" s="12"/>
      <c r="X412" s="12" t="s">
        <v>701</v>
      </c>
      <c r="Y412" s="12" t="s">
        <v>701</v>
      </c>
      <c r="Z412" s="12" t="s">
        <v>701</v>
      </c>
      <c r="AA412" s="12"/>
      <c r="AB412" s="12"/>
      <c r="AC412" s="12" t="str">
        <f>IF(OR(NOT(ISBLANK(AF412)), NOT(ISBLANK(AG412)), NOT(ISBLANK(AQ412)), NOT(ISBLANK(AN412))), "x", "")</f>
        <v>x</v>
      </c>
      <c r="AD412" s="12"/>
      <c r="AE412" s="12"/>
      <c r="AF412" s="12"/>
      <c r="AG412" s="12" t="s">
        <v>701</v>
      </c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</row>
    <row r="413" spans="1:43" ht="13.5">
      <c r="A413" s="11" t="s">
        <v>431</v>
      </c>
      <c r="B413" s="12" t="s">
        <v>598</v>
      </c>
      <c r="C413" s="12" t="s">
        <v>701</v>
      </c>
      <c r="D413" s="12"/>
      <c r="E413" s="12"/>
      <c r="F413" s="12"/>
      <c r="G413" s="12" t="s">
        <v>701</v>
      </c>
      <c r="H413" s="12" t="s">
        <v>701</v>
      </c>
      <c r="I413" s="12" t="s">
        <v>701</v>
      </c>
      <c r="J413" s="12"/>
      <c r="K413" s="12"/>
      <c r="L413" s="12"/>
      <c r="M413" s="12"/>
      <c r="N413" s="12"/>
      <c r="O413" s="12" t="s">
        <v>701</v>
      </c>
      <c r="P413" s="12"/>
      <c r="Q413" s="12"/>
      <c r="R413" s="12"/>
      <c r="S413" s="12"/>
      <c r="T413" s="12"/>
      <c r="U413" s="12"/>
      <c r="V413" s="12"/>
      <c r="W413" s="12"/>
      <c r="X413" s="12"/>
      <c r="Y413" s="12" t="s">
        <v>701</v>
      </c>
      <c r="Z413" s="12" t="s">
        <v>701</v>
      </c>
      <c r="AA413" s="12" t="s">
        <v>701</v>
      </c>
      <c r="AB413" s="12"/>
      <c r="AC413" s="12" t="str">
        <f>IF(OR(NOT(ISBLANK(AF413)), NOT(ISBLANK(AG413)), NOT(ISBLANK(AQ413)), NOT(ISBLANK(AN413))), "x", "")</f>
        <v/>
      </c>
      <c r="AD413" s="12" t="s">
        <v>701</v>
      </c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</row>
    <row r="414" spans="1:43" ht="13.5">
      <c r="A414" s="11" t="s">
        <v>432</v>
      </c>
      <c r="B414" s="12" t="s">
        <v>598</v>
      </c>
      <c r="C414" s="12"/>
      <c r="D414" s="12" t="s">
        <v>701</v>
      </c>
      <c r="E414" s="12"/>
      <c r="F414" s="12" t="s">
        <v>701</v>
      </c>
      <c r="G414" s="12" t="s">
        <v>701</v>
      </c>
      <c r="H414" s="12" t="s">
        <v>701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 t="s">
        <v>701</v>
      </c>
      <c r="T414" s="12"/>
      <c r="U414" s="12"/>
      <c r="V414" s="12"/>
      <c r="W414" s="12" t="s">
        <v>701</v>
      </c>
      <c r="X414" s="12"/>
      <c r="Y414" s="12"/>
      <c r="Z414" s="12" t="s">
        <v>701</v>
      </c>
      <c r="AA414" s="12" t="s">
        <v>701</v>
      </c>
      <c r="AB414" s="12"/>
      <c r="AC414" s="12" t="str">
        <f>IF(OR(NOT(ISBLANK(AF414)), NOT(ISBLANK(AG414)), NOT(ISBLANK(AQ414)), NOT(ISBLANK(AN414))), "x", "")</f>
        <v>x</v>
      </c>
      <c r="AD414" s="12"/>
      <c r="AE414" s="12"/>
      <c r="AF414" s="12"/>
      <c r="AG414" s="12" t="s">
        <v>701</v>
      </c>
      <c r="AH414" s="12"/>
      <c r="AI414" s="12"/>
      <c r="AJ414" s="12"/>
      <c r="AK414" s="12"/>
      <c r="AL414" s="12"/>
      <c r="AM414" s="12" t="s">
        <v>701</v>
      </c>
      <c r="AN414" s="12"/>
      <c r="AO414" s="12" t="s">
        <v>701</v>
      </c>
      <c r="AP414" s="12"/>
      <c r="AQ414" s="12"/>
    </row>
    <row r="415" spans="1:43" ht="13.5">
      <c r="A415" s="11" t="s">
        <v>433</v>
      </c>
      <c r="B415" s="12" t="s">
        <v>589</v>
      </c>
      <c r="C415" s="12" t="s">
        <v>701</v>
      </c>
      <c r="D415" s="12"/>
      <c r="E415" s="12"/>
      <c r="F415" s="12" t="s">
        <v>701</v>
      </c>
      <c r="G415" s="12" t="s">
        <v>701</v>
      </c>
      <c r="H415" s="12"/>
      <c r="I415" s="12" t="s">
        <v>701</v>
      </c>
      <c r="J415" s="12" t="s">
        <v>701</v>
      </c>
      <c r="K415" s="12"/>
      <c r="L415" s="12"/>
      <c r="M415" s="12" t="s">
        <v>701</v>
      </c>
      <c r="N415" s="12"/>
      <c r="O415" s="12" t="s">
        <v>701</v>
      </c>
      <c r="P415" s="12"/>
      <c r="Q415" s="12"/>
      <c r="R415" s="12"/>
      <c r="S415" s="12"/>
      <c r="T415" s="12"/>
      <c r="U415" s="12"/>
      <c r="V415" s="12" t="s">
        <v>701</v>
      </c>
      <c r="W415" s="12"/>
      <c r="X415" s="12"/>
      <c r="Y415" s="12" t="s">
        <v>701</v>
      </c>
      <c r="Z415" s="12"/>
      <c r="AA415" s="12" t="s">
        <v>701</v>
      </c>
      <c r="AB415" s="12"/>
      <c r="AC415" s="12" t="str">
        <f>IF(OR(NOT(ISBLANK(AF415)), NOT(ISBLANK(AG415)), NOT(ISBLANK(AQ415)), NOT(ISBLANK(AN415))), "x", "")</f>
        <v/>
      </c>
      <c r="AD415" s="12" t="s">
        <v>701</v>
      </c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</row>
    <row r="416" spans="1:43" ht="13.5">
      <c r="A416" s="11" t="s">
        <v>434</v>
      </c>
      <c r="B416" s="12" t="s">
        <v>598</v>
      </c>
      <c r="C416" s="12" t="s">
        <v>701</v>
      </c>
      <c r="D416" s="12"/>
      <c r="E416" s="12"/>
      <c r="F416" s="12"/>
      <c r="G416" s="12" t="s">
        <v>701</v>
      </c>
      <c r="H416" s="12" t="s">
        <v>701</v>
      </c>
      <c r="I416" s="12" t="s">
        <v>701</v>
      </c>
      <c r="J416" s="12"/>
      <c r="K416" s="12"/>
      <c r="L416" s="12"/>
      <c r="M416" s="12" t="s">
        <v>701</v>
      </c>
      <c r="N416" s="12"/>
      <c r="O416" s="12" t="s">
        <v>701</v>
      </c>
      <c r="P416" s="12"/>
      <c r="Q416" s="12"/>
      <c r="R416" s="12"/>
      <c r="S416" s="12"/>
      <c r="T416" s="12"/>
      <c r="U416" s="12"/>
      <c r="V416" s="12"/>
      <c r="W416" s="12"/>
      <c r="X416" s="12"/>
      <c r="Y416" s="12" t="s">
        <v>701</v>
      </c>
      <c r="Z416" s="12"/>
      <c r="AA416" s="12" t="s">
        <v>701</v>
      </c>
      <c r="AB416" s="12"/>
      <c r="AC416" s="12" t="str">
        <f>IF(OR(NOT(ISBLANK(AF416)), NOT(ISBLANK(AG416)), NOT(ISBLANK(AQ416)), NOT(ISBLANK(AN416))), "x", "")</f>
        <v>x</v>
      </c>
      <c r="AD416" s="12" t="s">
        <v>701</v>
      </c>
      <c r="AE416" s="12"/>
      <c r="AF416" s="12"/>
      <c r="AG416" s="12" t="s">
        <v>701</v>
      </c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</row>
    <row r="417" spans="1:43" ht="13.5">
      <c r="A417" s="11" t="s">
        <v>435</v>
      </c>
      <c r="B417" s="12" t="s">
        <v>604</v>
      </c>
      <c r="C417" s="12" t="s">
        <v>701</v>
      </c>
      <c r="D417" s="12"/>
      <c r="E417" s="12"/>
      <c r="F417" s="12" t="s">
        <v>701</v>
      </c>
      <c r="G417" s="12" t="s">
        <v>701</v>
      </c>
      <c r="H417" s="12" t="s">
        <v>701</v>
      </c>
      <c r="I417" s="12" t="s">
        <v>701</v>
      </c>
      <c r="J417" s="12" t="s">
        <v>701</v>
      </c>
      <c r="K417" s="12"/>
      <c r="L417" s="12"/>
      <c r="M417" s="12"/>
      <c r="N417" s="12"/>
      <c r="O417" s="12" t="s">
        <v>701</v>
      </c>
      <c r="P417" s="12"/>
      <c r="Q417" s="12"/>
      <c r="R417" s="12"/>
      <c r="S417" s="12"/>
      <c r="T417" s="12"/>
      <c r="U417" s="12"/>
      <c r="V417" s="12"/>
      <c r="W417" s="12"/>
      <c r="X417" s="12"/>
      <c r="Y417" s="12" t="s">
        <v>701</v>
      </c>
      <c r="Z417" s="12"/>
      <c r="AA417" s="12" t="s">
        <v>701</v>
      </c>
      <c r="AB417" s="12"/>
      <c r="AC417" s="12" t="str">
        <f>IF(OR(NOT(ISBLANK(AF417)), NOT(ISBLANK(AG417)), NOT(ISBLANK(AQ417)), NOT(ISBLANK(AN417))), "x", "")</f>
        <v/>
      </c>
      <c r="AD417" s="12" t="s">
        <v>701</v>
      </c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</row>
    <row r="418" spans="1:43" ht="13.5">
      <c r="A418" s="11" t="s">
        <v>436</v>
      </c>
      <c r="B418" s="12" t="s">
        <v>591</v>
      </c>
      <c r="C418" s="12" t="s">
        <v>701</v>
      </c>
      <c r="D418" s="12"/>
      <c r="E418" s="12"/>
      <c r="F418" s="12"/>
      <c r="G418" s="12"/>
      <c r="H418" s="12"/>
      <c r="I418" s="12" t="s">
        <v>701</v>
      </c>
      <c r="J418" s="12" t="s">
        <v>701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 t="s">
        <v>701</v>
      </c>
      <c r="Z418" s="12" t="s">
        <v>701</v>
      </c>
      <c r="AA418" s="12" t="s">
        <v>701</v>
      </c>
      <c r="AB418" s="12"/>
      <c r="AC418" s="12" t="str">
        <f>IF(OR(NOT(ISBLANK(AF418)), NOT(ISBLANK(AG418)), NOT(ISBLANK(AQ418)), NOT(ISBLANK(AN418))), "x", "")</f>
        <v/>
      </c>
      <c r="AD418" s="12" t="s">
        <v>701</v>
      </c>
      <c r="AE418" s="12"/>
      <c r="AF418" s="12"/>
      <c r="AG418" s="12"/>
      <c r="AH418" s="12"/>
      <c r="AI418" s="12"/>
      <c r="AJ418" s="12"/>
      <c r="AK418" s="12"/>
      <c r="AL418" s="12"/>
      <c r="AM418" s="12" t="s">
        <v>701</v>
      </c>
      <c r="AN418" s="12"/>
      <c r="AO418" s="12"/>
      <c r="AP418" s="12"/>
      <c r="AQ418" s="12"/>
    </row>
    <row r="419" spans="1:43" ht="13.5">
      <c r="A419" s="11" t="s">
        <v>437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 t="str">
        <f>IF(OR(NOT(ISBLANK(AF419)), NOT(ISBLANK(AG419)), NOT(ISBLANK(AQ419)), NOT(ISBLANK(AN419))), "x", "")</f>
        <v/>
      </c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</row>
    <row r="420" spans="1:43" ht="13.5">
      <c r="A420" s="11" t="s">
        <v>438</v>
      </c>
      <c r="B420" s="12" t="s">
        <v>589</v>
      </c>
      <c r="C420" s="12" t="s">
        <v>701</v>
      </c>
      <c r="D420" s="12"/>
      <c r="E420" s="12"/>
      <c r="F420" s="12"/>
      <c r="G420" s="12" t="s">
        <v>701</v>
      </c>
      <c r="H420" s="12"/>
      <c r="I420" s="12" t="s">
        <v>701</v>
      </c>
      <c r="J420" s="12"/>
      <c r="K420" s="12"/>
      <c r="L420" s="12"/>
      <c r="M420" s="12"/>
      <c r="N420" s="12"/>
      <c r="O420" s="12"/>
      <c r="P420" s="12"/>
      <c r="Q420" s="12" t="s">
        <v>701</v>
      </c>
      <c r="R420" s="12"/>
      <c r="S420" s="12" t="s">
        <v>701</v>
      </c>
      <c r="T420" s="12"/>
      <c r="U420" s="12"/>
      <c r="V420" s="12"/>
      <c r="W420" s="12"/>
      <c r="X420" s="12"/>
      <c r="Y420" s="12"/>
      <c r="Z420" s="12"/>
      <c r="AA420" s="12"/>
      <c r="AB420" s="12"/>
      <c r="AC420" s="12" t="str" cm="1">
        <f t="array" ref="AC420">IF(OR(NOT(ISBLANK(AG42x)), NOT(ISBLANK(AH42x)), NOT(ISBLANK(AR42x)), NOT(ISBLANK(AO42x))), "x", "")</f>
        <v>x</v>
      </c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</row>
    <row r="421" spans="1:43" ht="13.5">
      <c r="A421" s="11" t="s">
        <v>439</v>
      </c>
      <c r="B421" s="12" t="s">
        <v>589</v>
      </c>
      <c r="C421" s="12" t="s">
        <v>701</v>
      </c>
      <c r="D421" s="12"/>
      <c r="E421" s="12"/>
      <c r="F421" s="12"/>
      <c r="G421" s="12" t="s">
        <v>701</v>
      </c>
      <c r="H421" s="12"/>
      <c r="I421" s="12" t="s">
        <v>701</v>
      </c>
      <c r="J421" s="12"/>
      <c r="K421" s="12"/>
      <c r="L421" s="12"/>
      <c r="M421" s="12"/>
      <c r="N421" s="12"/>
      <c r="O421" s="12"/>
      <c r="P421" s="12"/>
      <c r="Q421" s="12" t="s">
        <v>701</v>
      </c>
      <c r="R421" s="12"/>
      <c r="S421" s="12" t="s">
        <v>701</v>
      </c>
      <c r="T421" s="12"/>
      <c r="U421" s="12"/>
      <c r="V421" s="12"/>
      <c r="W421" s="12"/>
      <c r="X421" s="12"/>
      <c r="Y421" s="12"/>
      <c r="Z421" s="12"/>
      <c r="AA421" s="12"/>
      <c r="AB421" s="12"/>
      <c r="AC421" s="12" t="str">
        <f>IF(OR(NOT(ISBLANK(AF421)), NOT(ISBLANK(AG421)), NOT(ISBLANK(AQ421)), NOT(ISBLANK(AN421))), "x", "")</f>
        <v/>
      </c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</row>
    <row r="422" spans="1:43" ht="13.5">
      <c r="A422" s="11" t="s">
        <v>440</v>
      </c>
      <c r="B422" s="12" t="s">
        <v>593</v>
      </c>
      <c r="C422" s="12" t="s">
        <v>701</v>
      </c>
      <c r="D422" s="12" t="s">
        <v>701</v>
      </c>
      <c r="E422" s="12"/>
      <c r="F422" s="12"/>
      <c r="G422" s="12"/>
      <c r="H422" s="12" t="s">
        <v>701</v>
      </c>
      <c r="I422" s="12" t="s">
        <v>701</v>
      </c>
      <c r="J422" s="12" t="s">
        <v>701</v>
      </c>
      <c r="K422" s="12"/>
      <c r="L422" s="12"/>
      <c r="M422" s="12"/>
      <c r="N422" s="12"/>
      <c r="O422" s="12" t="s">
        <v>701</v>
      </c>
      <c r="P422" s="12"/>
      <c r="Q422" s="12"/>
      <c r="R422" s="12"/>
      <c r="S422" s="12" t="s">
        <v>701</v>
      </c>
      <c r="T422" s="12"/>
      <c r="U422" s="12"/>
      <c r="V422" s="12" t="s">
        <v>701</v>
      </c>
      <c r="W422" s="12" t="s">
        <v>701</v>
      </c>
      <c r="X422" s="12" t="s">
        <v>701</v>
      </c>
      <c r="Y422" s="12" t="s">
        <v>701</v>
      </c>
      <c r="Z422" s="12" t="s">
        <v>701</v>
      </c>
      <c r="AA422" s="12" t="s">
        <v>701</v>
      </c>
      <c r="AB422" s="12" t="s">
        <v>701</v>
      </c>
      <c r="AC422" s="12" t="str">
        <f>IF(OR(NOT(ISBLANK(AF422)), NOT(ISBLANK(AG422)), NOT(ISBLANK(AQ422)), NOT(ISBLANK(AN422))), "x", "")</f>
        <v>x</v>
      </c>
      <c r="AD422" s="12" t="s">
        <v>701</v>
      </c>
      <c r="AE422" s="12"/>
      <c r="AF422" s="12" t="s">
        <v>701</v>
      </c>
      <c r="AG422" s="12"/>
      <c r="AH422" s="12"/>
      <c r="AI422" s="12"/>
      <c r="AJ422" s="12"/>
      <c r="AK422" s="12"/>
      <c r="AL422" s="12"/>
      <c r="AM422" s="12" t="s">
        <v>701</v>
      </c>
      <c r="AN422" s="12"/>
      <c r="AO422" s="12" t="s">
        <v>701</v>
      </c>
      <c r="AP422" s="12"/>
      <c r="AQ422" s="12"/>
    </row>
    <row r="423" spans="1:43" ht="13.5">
      <c r="A423" s="11" t="s">
        <v>441</v>
      </c>
      <c r="B423" s="12" t="s">
        <v>593</v>
      </c>
      <c r="C423" s="12" t="s">
        <v>701</v>
      </c>
      <c r="D423" s="12" t="s">
        <v>701</v>
      </c>
      <c r="E423" s="12"/>
      <c r="F423" s="12"/>
      <c r="G423" s="12"/>
      <c r="H423" s="12" t="s">
        <v>701</v>
      </c>
      <c r="I423" s="12" t="s">
        <v>701</v>
      </c>
      <c r="J423" s="12" t="s">
        <v>701</v>
      </c>
      <c r="K423" s="12"/>
      <c r="L423" s="12"/>
      <c r="M423" s="12"/>
      <c r="N423" s="12"/>
      <c r="O423" s="12" t="s">
        <v>701</v>
      </c>
      <c r="P423" s="12"/>
      <c r="Q423" s="12"/>
      <c r="R423" s="12"/>
      <c r="S423" s="12" t="s">
        <v>701</v>
      </c>
      <c r="T423" s="12"/>
      <c r="U423" s="12"/>
      <c r="V423" s="12" t="s">
        <v>701</v>
      </c>
      <c r="W423" s="12" t="s">
        <v>701</v>
      </c>
      <c r="X423" s="12" t="s">
        <v>701</v>
      </c>
      <c r="Y423" s="12" t="s">
        <v>701</v>
      </c>
      <c r="Z423" s="12" t="s">
        <v>701</v>
      </c>
      <c r="AA423" s="12" t="s">
        <v>701</v>
      </c>
      <c r="AB423" s="12" t="s">
        <v>701</v>
      </c>
      <c r="AC423" s="12" t="str">
        <f>IF(OR(NOT(ISBLANK(AF423)), NOT(ISBLANK(AG423)), NOT(ISBLANK(AQ423)), NOT(ISBLANK(AN423))), "x", "")</f>
        <v>x</v>
      </c>
      <c r="AD423" s="12" t="s">
        <v>701</v>
      </c>
      <c r="AE423" s="12"/>
      <c r="AF423" s="12" t="s">
        <v>701</v>
      </c>
      <c r="AG423" s="12"/>
      <c r="AH423" s="12"/>
      <c r="AI423" s="12"/>
      <c r="AJ423" s="12"/>
      <c r="AK423" s="12"/>
      <c r="AL423" s="12"/>
      <c r="AM423" s="12" t="s">
        <v>701</v>
      </c>
      <c r="AN423" s="12"/>
      <c r="AO423" s="12" t="s">
        <v>701</v>
      </c>
      <c r="AP423" s="12"/>
      <c r="AQ423" s="12"/>
    </row>
    <row r="424" spans="1:43" ht="13.5">
      <c r="A424" s="11" t="s">
        <v>442</v>
      </c>
      <c r="B424" s="12" t="s">
        <v>598</v>
      </c>
      <c r="C424" s="12"/>
      <c r="D424" s="12" t="s">
        <v>701</v>
      </c>
      <c r="E424" s="12"/>
      <c r="F424" s="12" t="s">
        <v>701</v>
      </c>
      <c r="G424" s="12" t="s">
        <v>701</v>
      </c>
      <c r="H424" s="12" t="s">
        <v>701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 t="s">
        <v>701</v>
      </c>
      <c r="T424" s="12"/>
      <c r="U424" s="12"/>
      <c r="V424" s="12"/>
      <c r="W424" s="12" t="s">
        <v>701</v>
      </c>
      <c r="X424" s="12"/>
      <c r="Y424" s="12"/>
      <c r="Z424" s="12" t="s">
        <v>701</v>
      </c>
      <c r="AA424" s="12" t="s">
        <v>701</v>
      </c>
      <c r="AB424" s="12"/>
      <c r="AC424" s="12" t="str">
        <f>IF(OR(NOT(ISBLANK(AF424)), NOT(ISBLANK(AG424)), NOT(ISBLANK(AQ424)), NOT(ISBLANK(AN424))), "x", "")</f>
        <v>x</v>
      </c>
      <c r="AD424" s="12"/>
      <c r="AE424" s="12"/>
      <c r="AF424" s="12"/>
      <c r="AG424" s="12" t="s">
        <v>701</v>
      </c>
      <c r="AH424" s="12"/>
      <c r="AI424" s="12"/>
      <c r="AJ424" s="12"/>
      <c r="AK424" s="12"/>
      <c r="AL424" s="12"/>
      <c r="AM424" s="12" t="s">
        <v>701</v>
      </c>
      <c r="AN424" s="12"/>
      <c r="AO424" s="12" t="s">
        <v>701</v>
      </c>
      <c r="AP424" s="12"/>
      <c r="AQ424" s="12"/>
    </row>
    <row r="425" spans="1:43" ht="13.5">
      <c r="A425" s="11" t="s">
        <v>443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 t="str">
        <f>IF(OR(NOT(ISBLANK(AF425)), NOT(ISBLANK(AG425)), NOT(ISBLANK(AQ425)), NOT(ISBLANK(AN425))), "x", "")</f>
        <v/>
      </c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</row>
    <row r="426" spans="1:43" ht="13.5">
      <c r="A426" s="11" t="s">
        <v>444</v>
      </c>
      <c r="B426" s="12" t="s">
        <v>587</v>
      </c>
      <c r="C426" s="12" t="s">
        <v>701</v>
      </c>
      <c r="D426" s="12" t="s">
        <v>701</v>
      </c>
      <c r="E426" s="12"/>
      <c r="F426" s="12" t="s">
        <v>701</v>
      </c>
      <c r="G426" s="12" t="s">
        <v>701</v>
      </c>
      <c r="H426" s="12" t="s">
        <v>701</v>
      </c>
      <c r="I426" s="12"/>
      <c r="J426" s="12"/>
      <c r="K426" s="12"/>
      <c r="L426" s="12"/>
      <c r="M426" s="12"/>
      <c r="N426" s="12"/>
      <c r="O426" s="12"/>
      <c r="P426" s="12"/>
      <c r="Q426" s="12" t="s">
        <v>701</v>
      </c>
      <c r="R426" s="12"/>
      <c r="S426" s="12" t="s">
        <v>701</v>
      </c>
      <c r="T426" s="12"/>
      <c r="U426" s="12"/>
      <c r="V426" s="12"/>
      <c r="W426" s="12" t="s">
        <v>701</v>
      </c>
      <c r="X426" s="12"/>
      <c r="Y426" s="12" t="s">
        <v>701</v>
      </c>
      <c r="Z426" s="12"/>
      <c r="AA426" s="12"/>
      <c r="AB426" s="12"/>
      <c r="AC426" s="12" t="str">
        <f>IF(OR(NOT(ISBLANK(AF426)), NOT(ISBLANK(AG426)), NOT(ISBLANK(AQ426)), NOT(ISBLANK(AN426))), "x", "")</f>
        <v/>
      </c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</row>
    <row r="427" spans="1:43" ht="13.5">
      <c r="A427" s="11" t="s">
        <v>445</v>
      </c>
      <c r="B427" s="12" t="s">
        <v>604</v>
      </c>
      <c r="C427" s="12"/>
      <c r="D427" s="12"/>
      <c r="E427" s="12"/>
      <c r="F427" s="12"/>
      <c r="G427" s="12"/>
      <c r="H427" s="12" t="s">
        <v>701</v>
      </c>
      <c r="I427" s="12" t="s">
        <v>701</v>
      </c>
      <c r="J427" s="12"/>
      <c r="K427" s="12"/>
      <c r="L427" s="12"/>
      <c r="M427" s="12" t="s">
        <v>701</v>
      </c>
      <c r="N427" s="12"/>
      <c r="O427" s="12" t="s">
        <v>701</v>
      </c>
      <c r="P427" s="12"/>
      <c r="Q427" s="12" t="s">
        <v>701</v>
      </c>
      <c r="R427" s="12"/>
      <c r="S427" s="12"/>
      <c r="T427" s="12"/>
      <c r="U427" s="12"/>
      <c r="V427" s="12"/>
      <c r="W427" s="12" t="s">
        <v>701</v>
      </c>
      <c r="X427" s="12"/>
      <c r="Y427" s="12" t="s">
        <v>701</v>
      </c>
      <c r="Z427" s="12" t="s">
        <v>701</v>
      </c>
      <c r="AA427" s="12" t="s">
        <v>701</v>
      </c>
      <c r="AB427" s="12"/>
      <c r="AC427" s="12" t="str">
        <f>IF(OR(NOT(ISBLANK(AF427)), NOT(ISBLANK(AG427)), NOT(ISBLANK(AQ427)), NOT(ISBLANK(AN427))), "x", "")</f>
        <v/>
      </c>
      <c r="AD427" s="12" t="s">
        <v>701</v>
      </c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</row>
    <row r="428" spans="1:43" ht="13.5">
      <c r="A428" s="11" t="s">
        <v>446</v>
      </c>
      <c r="B428" s="12" t="s">
        <v>604</v>
      </c>
      <c r="C428" s="12"/>
      <c r="D428" s="12"/>
      <c r="E428" s="12"/>
      <c r="F428" s="12" t="s">
        <v>701</v>
      </c>
      <c r="G428" s="12"/>
      <c r="H428" s="12" t="s">
        <v>701</v>
      </c>
      <c r="I428" s="12" t="s">
        <v>701</v>
      </c>
      <c r="J428" s="12" t="s">
        <v>701</v>
      </c>
      <c r="K428" s="12"/>
      <c r="L428" s="12"/>
      <c r="M428" s="12" t="s">
        <v>701</v>
      </c>
      <c r="N428" s="12"/>
      <c r="O428" s="12" t="s">
        <v>701</v>
      </c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 t="s">
        <v>701</v>
      </c>
      <c r="AB428" s="12"/>
      <c r="AC428" s="12" t="str">
        <f>IF(OR(NOT(ISBLANK(AF428)), NOT(ISBLANK(AG428)), NOT(ISBLANK(AQ428)), NOT(ISBLANK(AN428))), "x", "")</f>
        <v>x</v>
      </c>
      <c r="AD428" s="12" t="s">
        <v>701</v>
      </c>
      <c r="AE428" s="12"/>
      <c r="AF428" s="12" t="s">
        <v>701</v>
      </c>
      <c r="AG428" s="12"/>
      <c r="AH428" s="12"/>
      <c r="AI428" s="12"/>
      <c r="AJ428" s="12"/>
      <c r="AK428" s="12"/>
      <c r="AL428" s="12"/>
      <c r="AM428" s="12" t="s">
        <v>701</v>
      </c>
      <c r="AN428" s="12"/>
      <c r="AO428" s="12" t="s">
        <v>701</v>
      </c>
      <c r="AP428" s="12" t="s">
        <v>701</v>
      </c>
      <c r="AQ428" s="12" t="s">
        <v>701</v>
      </c>
    </row>
    <row r="429" spans="1:43" ht="13.5">
      <c r="A429" s="11" t="s">
        <v>447</v>
      </c>
      <c r="B429" s="12" t="s">
        <v>604</v>
      </c>
      <c r="C429" s="12"/>
      <c r="D429" s="12"/>
      <c r="E429" s="12"/>
      <c r="F429" s="12" t="s">
        <v>701</v>
      </c>
      <c r="G429" s="12"/>
      <c r="H429" s="12" t="s">
        <v>701</v>
      </c>
      <c r="I429" s="12" t="s">
        <v>701</v>
      </c>
      <c r="J429" s="12"/>
      <c r="K429" s="12"/>
      <c r="L429" s="12"/>
      <c r="M429" s="12"/>
      <c r="N429" s="12"/>
      <c r="O429" s="12" t="s">
        <v>701</v>
      </c>
      <c r="P429" s="12"/>
      <c r="Q429" s="12"/>
      <c r="R429" s="12"/>
      <c r="S429" s="12"/>
      <c r="T429" s="12"/>
      <c r="U429" s="12"/>
      <c r="V429" s="12" t="s">
        <v>701</v>
      </c>
      <c r="W429" s="12"/>
      <c r="X429" s="12"/>
      <c r="Y429" s="12"/>
      <c r="Z429" s="12"/>
      <c r="AA429" s="12"/>
      <c r="AB429" s="12"/>
      <c r="AC429" s="12" t="str">
        <f>IF(OR(NOT(ISBLANK(AF429)), NOT(ISBLANK(AG429)), NOT(ISBLANK(AQ429)), NOT(ISBLANK(AN429))), "x", "")</f>
        <v/>
      </c>
      <c r="AD429" s="12" t="s">
        <v>701</v>
      </c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</row>
    <row r="430" spans="1:43" ht="13.5">
      <c r="A430" s="11" t="s">
        <v>448</v>
      </c>
      <c r="B430" s="12" t="s">
        <v>604</v>
      </c>
      <c r="C430" s="12"/>
      <c r="D430" s="12"/>
      <c r="E430" s="12"/>
      <c r="F430" s="12" t="s">
        <v>701</v>
      </c>
      <c r="G430" s="12"/>
      <c r="H430" s="12" t="s">
        <v>701</v>
      </c>
      <c r="I430" s="12" t="s">
        <v>701</v>
      </c>
      <c r="J430" s="12" t="s">
        <v>701</v>
      </c>
      <c r="K430" s="12"/>
      <c r="L430" s="12"/>
      <c r="M430" s="12" t="s">
        <v>701</v>
      </c>
      <c r="N430" s="12"/>
      <c r="O430" s="12" t="s">
        <v>701</v>
      </c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 t="str" cm="1">
        <f t="array" ref="AC430">IF(OR(NOT(ISBLANK(AG43x)), NOT(ISBLANK(AH43x)), NOT(ISBLANK(AR43x)), NOT(ISBLANK(AO43x))), "x", "")</f>
        <v>x</v>
      </c>
      <c r="AD430" s="12" t="s">
        <v>701</v>
      </c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</row>
    <row r="431" spans="1:43" ht="13.5">
      <c r="A431" s="11" t="s">
        <v>449</v>
      </c>
      <c r="B431" s="12" t="s">
        <v>604</v>
      </c>
      <c r="C431" s="12"/>
      <c r="D431" s="12"/>
      <c r="E431" s="12"/>
      <c r="F431" s="12" t="s">
        <v>701</v>
      </c>
      <c r="G431" s="12"/>
      <c r="H431" s="12" t="s">
        <v>701</v>
      </c>
      <c r="I431" s="12" t="s">
        <v>701</v>
      </c>
      <c r="J431" s="12"/>
      <c r="K431" s="12"/>
      <c r="L431" s="12"/>
      <c r="M431" s="12" t="s">
        <v>701</v>
      </c>
      <c r="N431" s="12"/>
      <c r="O431" s="12" t="s">
        <v>701</v>
      </c>
      <c r="P431" s="12"/>
      <c r="Q431" s="12" t="s">
        <v>701</v>
      </c>
      <c r="R431" s="12"/>
      <c r="S431" s="12"/>
      <c r="T431" s="12"/>
      <c r="U431" s="12"/>
      <c r="V431" s="12"/>
      <c r="W431" s="12"/>
      <c r="X431" s="12"/>
      <c r="Y431" s="12" t="s">
        <v>701</v>
      </c>
      <c r="Z431" s="12"/>
      <c r="AA431" s="12" t="s">
        <v>701</v>
      </c>
      <c r="AB431" s="12"/>
      <c r="AC431" s="12" t="str">
        <f>IF(OR(NOT(ISBLANK(AF431)), NOT(ISBLANK(AG431)), NOT(ISBLANK(AQ431)), NOT(ISBLANK(AN431))), "x", "")</f>
        <v>x</v>
      </c>
      <c r="AD431" s="12" t="s">
        <v>701</v>
      </c>
      <c r="AE431" s="12"/>
      <c r="AF431" s="12"/>
      <c r="AG431" s="12" t="s">
        <v>701</v>
      </c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</row>
    <row r="432" spans="1:43" ht="13.5">
      <c r="A432" s="11" t="s">
        <v>450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 t="str">
        <f>IF(OR(NOT(ISBLANK(AF432)), NOT(ISBLANK(AG432)), NOT(ISBLANK(AQ432)), NOT(ISBLANK(AN432))), "x", "")</f>
        <v/>
      </c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</row>
    <row r="433" spans="1:43" ht="13.5">
      <c r="A433" s="11" t="s">
        <v>451</v>
      </c>
      <c r="B433" s="12" t="s">
        <v>604</v>
      </c>
      <c r="C433" s="12"/>
      <c r="D433" s="12"/>
      <c r="E433" s="12"/>
      <c r="F433" s="12" t="s">
        <v>701</v>
      </c>
      <c r="G433" s="12"/>
      <c r="H433" s="12" t="s">
        <v>701</v>
      </c>
      <c r="I433" s="12" t="s">
        <v>701</v>
      </c>
      <c r="J433" s="12"/>
      <c r="K433" s="12"/>
      <c r="L433" s="12"/>
      <c r="M433" s="12"/>
      <c r="N433" s="12"/>
      <c r="O433" s="12" t="s">
        <v>701</v>
      </c>
      <c r="P433" s="12"/>
      <c r="Q433" s="12"/>
      <c r="R433" s="12"/>
      <c r="S433" s="12"/>
      <c r="T433" s="12"/>
      <c r="U433" s="12"/>
      <c r="V433" s="12"/>
      <c r="W433" s="12"/>
      <c r="X433" s="12" t="s">
        <v>701</v>
      </c>
      <c r="Y433" s="12" t="s">
        <v>701</v>
      </c>
      <c r="Z433" s="12" t="s">
        <v>701</v>
      </c>
      <c r="AA433" s="12" t="s">
        <v>701</v>
      </c>
      <c r="AB433" s="12"/>
      <c r="AC433" s="12" t="str">
        <f>IF(OR(NOT(ISBLANK(AF433)), NOT(ISBLANK(AG433)), NOT(ISBLANK(AQ433)), NOT(ISBLANK(AN433))), "x", "")</f>
        <v/>
      </c>
      <c r="AD433" s="12" t="s">
        <v>701</v>
      </c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</row>
    <row r="434" spans="1:43" ht="13.5">
      <c r="A434" s="11" t="s">
        <v>452</v>
      </c>
      <c r="B434" s="12" t="s">
        <v>604</v>
      </c>
      <c r="C434" s="12"/>
      <c r="D434" s="12"/>
      <c r="E434" s="12"/>
      <c r="F434" s="12" t="s">
        <v>701</v>
      </c>
      <c r="G434" s="12"/>
      <c r="H434" s="12" t="s">
        <v>701</v>
      </c>
      <c r="I434" s="12" t="s">
        <v>701</v>
      </c>
      <c r="J434" s="12"/>
      <c r="K434" s="12"/>
      <c r="L434" s="12"/>
      <c r="M434" s="12" t="s">
        <v>701</v>
      </c>
      <c r="N434" s="12"/>
      <c r="O434" s="12" t="s">
        <v>701</v>
      </c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 t="str">
        <f>IF(OR(NOT(ISBLANK(AF434)), NOT(ISBLANK(AG434)), NOT(ISBLANK(AQ434)), NOT(ISBLANK(AN434))), "x", "")</f>
        <v/>
      </c>
      <c r="AD434" s="12" t="s">
        <v>701</v>
      </c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</row>
    <row r="435" spans="1:43" ht="13.5">
      <c r="A435" s="11" t="s">
        <v>453</v>
      </c>
      <c r="B435" s="12" t="s">
        <v>592</v>
      </c>
      <c r="C435" s="12"/>
      <c r="D435" s="12"/>
      <c r="E435" s="12"/>
      <c r="F435" s="12"/>
      <c r="G435" s="12"/>
      <c r="H435" s="12" t="s">
        <v>701</v>
      </c>
      <c r="I435" s="12"/>
      <c r="J435" s="12" t="s">
        <v>701</v>
      </c>
      <c r="K435" s="12"/>
      <c r="L435" s="12"/>
      <c r="M435" s="12"/>
      <c r="N435" s="12"/>
      <c r="O435" s="12" t="s">
        <v>701</v>
      </c>
      <c r="P435" s="12"/>
      <c r="Q435" s="12"/>
      <c r="R435" s="12"/>
      <c r="S435" s="12"/>
      <c r="T435" s="12"/>
      <c r="U435" s="12"/>
      <c r="V435" s="12"/>
      <c r="W435" s="12" t="s">
        <v>701</v>
      </c>
      <c r="X435" s="12" t="s">
        <v>701</v>
      </c>
      <c r="Y435" s="12" t="s">
        <v>701</v>
      </c>
      <c r="Z435" s="12" t="s">
        <v>701</v>
      </c>
      <c r="AA435" s="12" t="s">
        <v>701</v>
      </c>
      <c r="AB435" s="12"/>
      <c r="AC435" s="12" t="str">
        <f>IF(OR(NOT(ISBLANK(AF435)), NOT(ISBLANK(AG435)), NOT(ISBLANK(AQ435)), NOT(ISBLANK(AN435))), "x", "")</f>
        <v>x</v>
      </c>
      <c r="AD435" s="12" t="s">
        <v>701</v>
      </c>
      <c r="AE435" s="12"/>
      <c r="AF435" s="12" t="s">
        <v>701</v>
      </c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</row>
    <row r="436" spans="1:43" ht="13.5">
      <c r="A436" s="11" t="s">
        <v>454</v>
      </c>
      <c r="B436" s="12" t="s">
        <v>589</v>
      </c>
      <c r="C436" s="12" t="s">
        <v>701</v>
      </c>
      <c r="D436" s="12"/>
      <c r="E436" s="12"/>
      <c r="F436" s="12" t="s">
        <v>701</v>
      </c>
      <c r="G436" s="12" t="s">
        <v>701</v>
      </c>
      <c r="H436" s="12" t="s">
        <v>701</v>
      </c>
      <c r="I436" s="12" t="s">
        <v>701</v>
      </c>
      <c r="J436" s="12" t="s">
        <v>701</v>
      </c>
      <c r="K436" s="12"/>
      <c r="L436" s="12"/>
      <c r="M436" s="12" t="s">
        <v>701</v>
      </c>
      <c r="N436" s="12"/>
      <c r="O436" s="12" t="s">
        <v>701</v>
      </c>
      <c r="P436" s="12"/>
      <c r="Q436" s="12" t="s">
        <v>701</v>
      </c>
      <c r="R436" s="12"/>
      <c r="S436" s="12" t="s">
        <v>701</v>
      </c>
      <c r="T436" s="12"/>
      <c r="U436" s="12"/>
      <c r="V436" s="12" t="s">
        <v>701</v>
      </c>
      <c r="W436" s="12"/>
      <c r="X436" s="12"/>
      <c r="Y436" s="12" t="s">
        <v>701</v>
      </c>
      <c r="Z436" s="12"/>
      <c r="AA436" s="12"/>
      <c r="AB436" s="12"/>
      <c r="AC436" s="12" t="str">
        <f>IF(OR(NOT(ISBLANK(AF436)), NOT(ISBLANK(AG436)), NOT(ISBLANK(AQ436)), NOT(ISBLANK(AN436))), "x", "")</f>
        <v/>
      </c>
      <c r="AD436" s="12" t="s">
        <v>701</v>
      </c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</row>
    <row r="437" spans="1:43" ht="13.5">
      <c r="A437" s="11" t="s">
        <v>455</v>
      </c>
      <c r="B437" s="12" t="s">
        <v>589</v>
      </c>
      <c r="C437" s="12"/>
      <c r="D437" s="12"/>
      <c r="E437" s="12"/>
      <c r="F437" s="12" t="s">
        <v>701</v>
      </c>
      <c r="G437" s="12" t="s">
        <v>701</v>
      </c>
      <c r="H437" s="12" t="s">
        <v>701</v>
      </c>
      <c r="I437" s="12" t="s">
        <v>701</v>
      </c>
      <c r="J437" s="12" t="s">
        <v>701</v>
      </c>
      <c r="K437" s="12"/>
      <c r="L437" s="12"/>
      <c r="M437" s="12" t="s">
        <v>701</v>
      </c>
      <c r="N437" s="12"/>
      <c r="O437" s="12" t="s">
        <v>701</v>
      </c>
      <c r="P437" s="12"/>
      <c r="Q437" s="12" t="s">
        <v>701</v>
      </c>
      <c r="R437" s="12"/>
      <c r="S437" s="12"/>
      <c r="T437" s="12"/>
      <c r="U437" s="12"/>
      <c r="V437" s="12"/>
      <c r="W437" s="12"/>
      <c r="X437" s="12"/>
      <c r="Y437" s="12" t="s">
        <v>701</v>
      </c>
      <c r="Z437" s="12"/>
      <c r="AA437" s="12"/>
      <c r="AB437" s="12"/>
      <c r="AC437" s="12" t="str">
        <f>IF(OR(NOT(ISBLANK(AF437)), NOT(ISBLANK(AG437)), NOT(ISBLANK(AQ437)), NOT(ISBLANK(AN437))), "x", "")</f>
        <v/>
      </c>
      <c r="AD437" s="12" t="s">
        <v>701</v>
      </c>
      <c r="AE437" s="12"/>
      <c r="AF437" s="12"/>
      <c r="AG437" s="12"/>
      <c r="AH437" s="12" t="s">
        <v>701</v>
      </c>
      <c r="AI437" s="12"/>
      <c r="AJ437" s="12"/>
      <c r="AK437" s="12"/>
      <c r="AL437" s="12"/>
      <c r="AM437" s="12"/>
      <c r="AN437" s="12"/>
      <c r="AO437" s="12"/>
      <c r="AP437" s="12"/>
      <c r="AQ437" s="12"/>
    </row>
    <row r="438" spans="1:43" ht="13.5">
      <c r="A438" s="11" t="s">
        <v>456</v>
      </c>
      <c r="B438" s="12" t="s">
        <v>589</v>
      </c>
      <c r="C438" s="12"/>
      <c r="D438" s="12"/>
      <c r="E438" s="12"/>
      <c r="F438" s="12" t="s">
        <v>701</v>
      </c>
      <c r="G438" s="12" t="s">
        <v>701</v>
      </c>
      <c r="H438" s="12" t="s">
        <v>701</v>
      </c>
      <c r="I438" s="12" t="s">
        <v>701</v>
      </c>
      <c r="J438" s="12" t="s">
        <v>701</v>
      </c>
      <c r="K438" s="12"/>
      <c r="L438" s="12"/>
      <c r="M438" s="12" t="s">
        <v>701</v>
      </c>
      <c r="N438" s="12"/>
      <c r="O438" s="12" t="s">
        <v>701</v>
      </c>
      <c r="P438" s="12"/>
      <c r="Q438" s="12" t="s">
        <v>701</v>
      </c>
      <c r="R438" s="12"/>
      <c r="S438" s="12"/>
      <c r="T438" s="12"/>
      <c r="U438" s="12"/>
      <c r="V438" s="12"/>
      <c r="W438" s="12"/>
      <c r="X438" s="12" t="s">
        <v>701</v>
      </c>
      <c r="Y438" s="12" t="s">
        <v>701</v>
      </c>
      <c r="Z438" s="12"/>
      <c r="AA438" s="12"/>
      <c r="AB438" s="12"/>
      <c r="AC438" s="12" t="str">
        <f>IF(OR(NOT(ISBLANK(AF438)), NOT(ISBLANK(AG438)), NOT(ISBLANK(AQ438)), NOT(ISBLANK(AN438))), "x", "")</f>
        <v/>
      </c>
      <c r="AD438" s="12" t="s">
        <v>701</v>
      </c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</row>
    <row r="439" spans="1:43" ht="13.5">
      <c r="A439" s="11" t="s">
        <v>457</v>
      </c>
      <c r="B439" s="12" t="s">
        <v>598</v>
      </c>
      <c r="C439" s="12"/>
      <c r="D439" s="12" t="s">
        <v>701</v>
      </c>
      <c r="E439" s="12"/>
      <c r="F439" s="12" t="s">
        <v>701</v>
      </c>
      <c r="G439" s="12" t="s">
        <v>701</v>
      </c>
      <c r="H439" s="12" t="s">
        <v>701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 t="s">
        <v>701</v>
      </c>
      <c r="T439" s="12"/>
      <c r="U439" s="12"/>
      <c r="V439" s="12"/>
      <c r="W439" s="12" t="s">
        <v>701</v>
      </c>
      <c r="X439" s="12"/>
      <c r="Y439" s="12"/>
      <c r="Z439" s="12" t="s">
        <v>701</v>
      </c>
      <c r="AA439" s="12" t="s">
        <v>701</v>
      </c>
      <c r="AB439" s="12"/>
      <c r="AC439" s="12" t="str">
        <f>IF(OR(NOT(ISBLANK(AF439)), NOT(ISBLANK(AG439)), NOT(ISBLANK(AQ439)), NOT(ISBLANK(AN439))), "x", "")</f>
        <v>x</v>
      </c>
      <c r="AD439" s="12"/>
      <c r="AE439" s="12"/>
      <c r="AF439" s="12"/>
      <c r="AG439" s="12" t="s">
        <v>701</v>
      </c>
      <c r="AH439" s="12"/>
      <c r="AI439" s="12"/>
      <c r="AJ439" s="12"/>
      <c r="AK439" s="12"/>
      <c r="AL439" s="12"/>
      <c r="AM439" s="12" t="s">
        <v>701</v>
      </c>
      <c r="AN439" s="12"/>
      <c r="AO439" s="12" t="s">
        <v>701</v>
      </c>
      <c r="AP439" s="12"/>
      <c r="AQ439" s="12"/>
    </row>
    <row r="440" spans="1:43" ht="13.5">
      <c r="A440" s="11" t="s">
        <v>458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 t="str" cm="1">
        <f t="array" ref="AC440">IF(OR(NOT(ISBLANK(AG44x)), NOT(ISBLANK(AH44x)), NOT(ISBLANK(AR44x)), NOT(ISBLANK(AO44x))), "x", "")</f>
        <v>x</v>
      </c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</row>
    <row r="441" spans="1:43" ht="13.5">
      <c r="A441" s="11" t="s">
        <v>459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 t="str">
        <f>IF(OR(NOT(ISBLANK(AF441)), NOT(ISBLANK(AG441)), NOT(ISBLANK(AQ441)), NOT(ISBLANK(AN441))), "x", "")</f>
        <v/>
      </c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</row>
    <row r="442" spans="1:43" ht="13.5">
      <c r="A442" s="11" t="s">
        <v>460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 t="str">
        <f>IF(OR(NOT(ISBLANK(AF442)), NOT(ISBLANK(AG442)), NOT(ISBLANK(AQ442)), NOT(ISBLANK(AN442))), "x", "")</f>
        <v/>
      </c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</row>
    <row r="443" spans="1:43" ht="13.5">
      <c r="A443" s="11" t="s">
        <v>461</v>
      </c>
      <c r="B443" s="12" t="s">
        <v>589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 t="str">
        <f>IF(OR(NOT(ISBLANK(AF443)), NOT(ISBLANK(AG443)), NOT(ISBLANK(AQ443)), NOT(ISBLANK(AN443))), "x", "")</f>
        <v/>
      </c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</row>
    <row r="444" spans="1:43" ht="13.5">
      <c r="A444" s="11" t="s">
        <v>462</v>
      </c>
      <c r="B444" s="12" t="s">
        <v>595</v>
      </c>
      <c r="C444" s="12" t="s">
        <v>701</v>
      </c>
      <c r="D444" s="12"/>
      <c r="E444" s="12"/>
      <c r="F444" s="12" t="s">
        <v>701</v>
      </c>
      <c r="G444" s="12" t="s">
        <v>701</v>
      </c>
      <c r="H444" s="12"/>
      <c r="I444" s="12"/>
      <c r="J444" s="12"/>
      <c r="K444" s="12"/>
      <c r="L444" s="12"/>
      <c r="M444" s="12"/>
      <c r="N444" s="12"/>
      <c r="O444" s="12" t="s">
        <v>701</v>
      </c>
      <c r="P444" s="12"/>
      <c r="Q444" s="12" t="s">
        <v>701</v>
      </c>
      <c r="R444" s="12"/>
      <c r="S444" s="12" t="s">
        <v>701</v>
      </c>
      <c r="T444" s="12"/>
      <c r="U444" s="12"/>
      <c r="V444" s="12"/>
      <c r="W444" s="12" t="s">
        <v>701</v>
      </c>
      <c r="X444" s="12"/>
      <c r="Y444" s="12"/>
      <c r="Z444" s="12"/>
      <c r="AA444" s="12"/>
      <c r="AB444" s="12"/>
      <c r="AC444" s="12" t="str">
        <f>IF(OR(NOT(ISBLANK(AF444)), NOT(ISBLANK(AG444)), NOT(ISBLANK(AQ444)), NOT(ISBLANK(AN444))), "x", "")</f>
        <v/>
      </c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</row>
    <row r="445" spans="1:43" ht="13.5">
      <c r="A445" s="11" t="s">
        <v>463</v>
      </c>
      <c r="B445" s="12" t="s">
        <v>588</v>
      </c>
      <c r="C445" s="12" t="s">
        <v>701</v>
      </c>
      <c r="D445" s="12"/>
      <c r="E445" s="12"/>
      <c r="F445" s="12" t="s">
        <v>701</v>
      </c>
      <c r="G445" s="12" t="s">
        <v>701</v>
      </c>
      <c r="H445" s="12"/>
      <c r="I445" s="12"/>
      <c r="J445" s="12"/>
      <c r="K445" s="12"/>
      <c r="L445" s="12"/>
      <c r="M445" s="12"/>
      <c r="N445" s="12"/>
      <c r="O445" s="12" t="s">
        <v>701</v>
      </c>
      <c r="P445" s="12"/>
      <c r="Q445" s="12" t="s">
        <v>701</v>
      </c>
      <c r="R445" s="12"/>
      <c r="S445" s="12" t="s">
        <v>701</v>
      </c>
      <c r="T445" s="12"/>
      <c r="U445" s="12"/>
      <c r="V445" s="12"/>
      <c r="W445" s="12" t="s">
        <v>701</v>
      </c>
      <c r="X445" s="12"/>
      <c r="Y445" s="12"/>
      <c r="Z445" s="12"/>
      <c r="AA445" s="12"/>
      <c r="AB445" s="12"/>
      <c r="AC445" s="12" t="str">
        <f>IF(OR(NOT(ISBLANK(AF445)), NOT(ISBLANK(AG445)), NOT(ISBLANK(AQ445)), NOT(ISBLANK(AN445))), "x", "")</f>
        <v/>
      </c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</row>
    <row r="446" spans="1:43" ht="13.5">
      <c r="A446" s="11" t="s">
        <v>464</v>
      </c>
      <c r="B446" s="12" t="s">
        <v>595</v>
      </c>
      <c r="C446" s="12" t="s">
        <v>701</v>
      </c>
      <c r="D446" s="12"/>
      <c r="E446" s="12"/>
      <c r="F446" s="12" t="s">
        <v>701</v>
      </c>
      <c r="G446" s="12" t="s">
        <v>701</v>
      </c>
      <c r="H446" s="12"/>
      <c r="I446" s="12"/>
      <c r="J446" s="12"/>
      <c r="K446" s="12"/>
      <c r="L446" s="12"/>
      <c r="M446" s="12"/>
      <c r="N446" s="12"/>
      <c r="O446" s="12" t="s">
        <v>701</v>
      </c>
      <c r="P446" s="12"/>
      <c r="Q446" s="12" t="s">
        <v>701</v>
      </c>
      <c r="R446" s="12"/>
      <c r="S446" s="12" t="s">
        <v>701</v>
      </c>
      <c r="T446" s="12"/>
      <c r="U446" s="12"/>
      <c r="V446" s="12"/>
      <c r="W446" s="12" t="s">
        <v>701</v>
      </c>
      <c r="X446" s="12"/>
      <c r="Y446" s="12"/>
      <c r="Z446" s="12"/>
      <c r="AA446" s="12"/>
      <c r="AB446" s="12"/>
      <c r="AC446" s="12" t="str">
        <f>IF(OR(NOT(ISBLANK(AF446)), NOT(ISBLANK(AG446)), NOT(ISBLANK(AQ446)), NOT(ISBLANK(AN446))), "x", "")</f>
        <v/>
      </c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</row>
    <row r="447" spans="1:43" ht="13.5">
      <c r="A447" s="11" t="s">
        <v>465</v>
      </c>
      <c r="B447" s="12" t="s">
        <v>588</v>
      </c>
      <c r="C447" s="12" t="s">
        <v>701</v>
      </c>
      <c r="D447" s="12"/>
      <c r="E447" s="12"/>
      <c r="F447" s="12" t="s">
        <v>701</v>
      </c>
      <c r="G447" s="12" t="s">
        <v>701</v>
      </c>
      <c r="H447" s="12"/>
      <c r="I447" s="12"/>
      <c r="J447" s="12"/>
      <c r="K447" s="12"/>
      <c r="L447" s="12"/>
      <c r="M447" s="12"/>
      <c r="N447" s="12"/>
      <c r="O447" s="12" t="s">
        <v>701</v>
      </c>
      <c r="P447" s="12"/>
      <c r="Q447" s="12" t="s">
        <v>701</v>
      </c>
      <c r="R447" s="12"/>
      <c r="S447" s="12" t="s">
        <v>701</v>
      </c>
      <c r="T447" s="12"/>
      <c r="U447" s="12"/>
      <c r="V447" s="12"/>
      <c r="W447" s="12" t="s">
        <v>701</v>
      </c>
      <c r="X447" s="12"/>
      <c r="Y447" s="12"/>
      <c r="Z447" s="12"/>
      <c r="AA447" s="12"/>
      <c r="AB447" s="12"/>
      <c r="AC447" s="12" t="str">
        <f>IF(OR(NOT(ISBLANK(AF447)), NOT(ISBLANK(AG447)), NOT(ISBLANK(AQ447)), NOT(ISBLANK(AN447))), "x", "")</f>
        <v/>
      </c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</row>
    <row r="448" spans="1:43" ht="13.5">
      <c r="A448" s="11" t="s">
        <v>466</v>
      </c>
      <c r="B448" s="12" t="s">
        <v>588</v>
      </c>
      <c r="C448" s="12" t="s">
        <v>701</v>
      </c>
      <c r="D448" s="12"/>
      <c r="E448" s="12"/>
      <c r="F448" s="12" t="s">
        <v>701</v>
      </c>
      <c r="G448" s="12" t="s">
        <v>701</v>
      </c>
      <c r="H448" s="12"/>
      <c r="I448" s="12"/>
      <c r="J448" s="12"/>
      <c r="K448" s="12"/>
      <c r="L448" s="12"/>
      <c r="M448" s="12"/>
      <c r="N448" s="12"/>
      <c r="O448" s="12" t="s">
        <v>701</v>
      </c>
      <c r="P448" s="12"/>
      <c r="Q448" s="12" t="s">
        <v>701</v>
      </c>
      <c r="R448" s="12"/>
      <c r="S448" s="12" t="s">
        <v>701</v>
      </c>
      <c r="T448" s="12"/>
      <c r="U448" s="12"/>
      <c r="V448" s="12"/>
      <c r="W448" s="12" t="s">
        <v>701</v>
      </c>
      <c r="X448" s="12"/>
      <c r="Y448" s="12"/>
      <c r="Z448" s="12"/>
      <c r="AA448" s="12"/>
      <c r="AB448" s="12"/>
      <c r="AC448" s="12" t="str">
        <f>IF(OR(NOT(ISBLANK(AF448)), NOT(ISBLANK(AG448)), NOT(ISBLANK(AQ448)), NOT(ISBLANK(AN448))), "x", "")</f>
        <v/>
      </c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</row>
    <row r="449" spans="1:43" ht="13.5">
      <c r="A449" s="11" t="s">
        <v>467</v>
      </c>
      <c r="B449" s="12" t="s">
        <v>588</v>
      </c>
      <c r="C449" s="12" t="s">
        <v>701</v>
      </c>
      <c r="D449" s="12"/>
      <c r="E449" s="12"/>
      <c r="F449" s="12" t="s">
        <v>701</v>
      </c>
      <c r="G449" s="12" t="s">
        <v>701</v>
      </c>
      <c r="H449" s="12"/>
      <c r="I449" s="12"/>
      <c r="J449" s="12"/>
      <c r="K449" s="12"/>
      <c r="L449" s="12"/>
      <c r="M449" s="12"/>
      <c r="N449" s="12"/>
      <c r="O449" s="12" t="s">
        <v>701</v>
      </c>
      <c r="P449" s="12"/>
      <c r="Q449" s="12" t="s">
        <v>701</v>
      </c>
      <c r="R449" s="12"/>
      <c r="S449" s="12" t="s">
        <v>701</v>
      </c>
      <c r="T449" s="12"/>
      <c r="U449" s="12"/>
      <c r="V449" s="12"/>
      <c r="W449" s="12" t="s">
        <v>701</v>
      </c>
      <c r="X449" s="12"/>
      <c r="Y449" s="12"/>
      <c r="Z449" s="12"/>
      <c r="AA449" s="12"/>
      <c r="AB449" s="12"/>
      <c r="AC449" s="12" t="str">
        <f>IF(OR(NOT(ISBLANK(AF449)), NOT(ISBLANK(AG449)), NOT(ISBLANK(AQ449)), NOT(ISBLANK(AN449))), "x", "")</f>
        <v/>
      </c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</row>
    <row r="450" spans="1:43" ht="13.5">
      <c r="A450" s="11" t="s">
        <v>468</v>
      </c>
      <c r="B450" s="12" t="s">
        <v>599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 t="str" cm="1">
        <f t="array" ref="AC450">IF(OR(NOT(ISBLANK(AG45x)), NOT(ISBLANK(AH45x)), NOT(ISBLANK(AR45x)), NOT(ISBLANK(AO45x))), "x", "")</f>
        <v>x</v>
      </c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</row>
    <row r="451" spans="1:43" ht="13.5">
      <c r="A451" s="11" t="s">
        <v>469</v>
      </c>
      <c r="B451" s="12" t="s">
        <v>599</v>
      </c>
      <c r="C451" s="12" t="s">
        <v>701</v>
      </c>
      <c r="D451" s="12"/>
      <c r="E451" s="12"/>
      <c r="F451" s="12" t="s">
        <v>701</v>
      </c>
      <c r="G451" s="12" t="s">
        <v>701</v>
      </c>
      <c r="H451" s="12" t="s">
        <v>701</v>
      </c>
      <c r="I451" s="12" t="s">
        <v>701</v>
      </c>
      <c r="J451" s="12" t="s">
        <v>701</v>
      </c>
      <c r="K451" s="12"/>
      <c r="L451" s="12"/>
      <c r="M451" s="12" t="s">
        <v>701</v>
      </c>
      <c r="N451" s="12"/>
      <c r="O451" s="12" t="s">
        <v>701</v>
      </c>
      <c r="P451" s="12"/>
      <c r="Q451" s="12" t="s">
        <v>701</v>
      </c>
      <c r="R451" s="12"/>
      <c r="S451" s="12" t="s">
        <v>701</v>
      </c>
      <c r="T451" s="12"/>
      <c r="U451" s="12" t="s">
        <v>701</v>
      </c>
      <c r="V451" s="12" t="s">
        <v>701</v>
      </c>
      <c r="W451" s="12"/>
      <c r="X451" s="12"/>
      <c r="Y451" s="12" t="s">
        <v>701</v>
      </c>
      <c r="Z451" s="12"/>
      <c r="AA451" s="12" t="s">
        <v>701</v>
      </c>
      <c r="AB451" s="12"/>
      <c r="AC451" s="12" t="str">
        <f>IF(OR(NOT(ISBLANK(AF451)), NOT(ISBLANK(AG451)), NOT(ISBLANK(AQ451)), NOT(ISBLANK(AN451))), "x", "")</f>
        <v/>
      </c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</row>
    <row r="452" spans="1:43" ht="13.5">
      <c r="A452" s="11" t="s">
        <v>470</v>
      </c>
      <c r="B452" s="12" t="s">
        <v>599</v>
      </c>
      <c r="C452" s="12" t="s">
        <v>701</v>
      </c>
      <c r="D452" s="12"/>
      <c r="E452" s="12"/>
      <c r="F452" s="12" t="s">
        <v>701</v>
      </c>
      <c r="G452" s="12" t="s">
        <v>701</v>
      </c>
      <c r="H452" s="12" t="s">
        <v>701</v>
      </c>
      <c r="I452" s="12" t="s">
        <v>701</v>
      </c>
      <c r="J452" s="12" t="s">
        <v>701</v>
      </c>
      <c r="K452" s="12"/>
      <c r="L452" s="12"/>
      <c r="M452" s="12" t="s">
        <v>701</v>
      </c>
      <c r="N452" s="12"/>
      <c r="O452" s="12" t="s">
        <v>701</v>
      </c>
      <c r="P452" s="12"/>
      <c r="Q452" s="12" t="s">
        <v>701</v>
      </c>
      <c r="R452" s="12"/>
      <c r="S452" s="12" t="s">
        <v>701</v>
      </c>
      <c r="T452" s="12"/>
      <c r="U452" s="12" t="s">
        <v>701</v>
      </c>
      <c r="V452" s="12" t="s">
        <v>701</v>
      </c>
      <c r="W452" s="12"/>
      <c r="X452" s="12"/>
      <c r="Y452" s="12" t="s">
        <v>701</v>
      </c>
      <c r="Z452" s="12"/>
      <c r="AA452" s="12" t="s">
        <v>701</v>
      </c>
      <c r="AB452" s="12"/>
      <c r="AC452" s="12" t="str">
        <f>IF(OR(NOT(ISBLANK(AF452)), NOT(ISBLANK(AG452)), NOT(ISBLANK(AQ452)), NOT(ISBLANK(AN452))), "x", "")</f>
        <v/>
      </c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</row>
    <row r="453" spans="1:43" ht="13.5">
      <c r="A453" s="11" t="s">
        <v>471</v>
      </c>
      <c r="B453" s="12" t="s">
        <v>599</v>
      </c>
      <c r="C453" s="12" t="s">
        <v>701</v>
      </c>
      <c r="D453" s="12"/>
      <c r="E453" s="12"/>
      <c r="F453" s="12" t="s">
        <v>701</v>
      </c>
      <c r="G453" s="12" t="s">
        <v>701</v>
      </c>
      <c r="H453" s="12" t="s">
        <v>701</v>
      </c>
      <c r="I453" s="12" t="s">
        <v>701</v>
      </c>
      <c r="J453" s="12" t="s">
        <v>701</v>
      </c>
      <c r="K453" s="12"/>
      <c r="L453" s="12"/>
      <c r="M453" s="12" t="s">
        <v>701</v>
      </c>
      <c r="N453" s="12"/>
      <c r="O453" s="12" t="s">
        <v>701</v>
      </c>
      <c r="P453" s="12"/>
      <c r="Q453" s="12" t="s">
        <v>701</v>
      </c>
      <c r="R453" s="12"/>
      <c r="S453" s="12" t="s">
        <v>701</v>
      </c>
      <c r="T453" s="12"/>
      <c r="U453" s="12" t="s">
        <v>701</v>
      </c>
      <c r="V453" s="12" t="s">
        <v>701</v>
      </c>
      <c r="W453" s="12"/>
      <c r="X453" s="12"/>
      <c r="Y453" s="12" t="s">
        <v>701</v>
      </c>
      <c r="Z453" s="12"/>
      <c r="AA453" s="12" t="s">
        <v>701</v>
      </c>
      <c r="AB453" s="12"/>
      <c r="AC453" s="12" t="str">
        <f>IF(OR(NOT(ISBLANK(AF453)), NOT(ISBLANK(AG453)), NOT(ISBLANK(AQ453)), NOT(ISBLANK(AN453))), "x", "")</f>
        <v/>
      </c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</row>
    <row r="454" spans="1:43" ht="13.5">
      <c r="A454" s="11" t="s">
        <v>472</v>
      </c>
      <c r="B454" s="12" t="s">
        <v>593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 t="str">
        <f>IF(OR(NOT(ISBLANK(AF454)), NOT(ISBLANK(AG454)), NOT(ISBLANK(AQ454)), NOT(ISBLANK(AN454))), "x", "")</f>
        <v/>
      </c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</row>
    <row r="455" spans="1:43" ht="13.5">
      <c r="A455" s="11" t="s">
        <v>473</v>
      </c>
      <c r="B455" s="12" t="s">
        <v>593</v>
      </c>
      <c r="C455" s="12" t="s">
        <v>701</v>
      </c>
      <c r="D455" s="12"/>
      <c r="E455" s="12"/>
      <c r="F455" s="12" t="s">
        <v>701</v>
      </c>
      <c r="G455" s="12"/>
      <c r="H455" s="12" t="s">
        <v>701</v>
      </c>
      <c r="I455" s="12"/>
      <c r="J455" s="12" t="s">
        <v>701</v>
      </c>
      <c r="K455" s="12"/>
      <c r="L455" s="12"/>
      <c r="M455" s="12"/>
      <c r="N455" s="12"/>
      <c r="O455" s="12" t="s">
        <v>701</v>
      </c>
      <c r="P455" s="12"/>
      <c r="Q455" s="12" t="s">
        <v>701</v>
      </c>
      <c r="R455" s="12" t="s">
        <v>701</v>
      </c>
      <c r="S455" s="12"/>
      <c r="T455" s="12"/>
      <c r="U455" s="12"/>
      <c r="V455" s="12"/>
      <c r="W455" s="12"/>
      <c r="X455" s="12" t="s">
        <v>701</v>
      </c>
      <c r="Y455" s="12" t="s">
        <v>701</v>
      </c>
      <c r="Z455" s="12" t="s">
        <v>701</v>
      </c>
      <c r="AA455" s="12" t="s">
        <v>701</v>
      </c>
      <c r="AB455" s="12"/>
      <c r="AC455" s="12" t="str">
        <f>IF(OR(NOT(ISBLANK(AF455)), NOT(ISBLANK(AG455)), NOT(ISBLANK(AQ455)), NOT(ISBLANK(AN455))), "x", "")</f>
        <v/>
      </c>
      <c r="AD455" s="12" t="s">
        <v>701</v>
      </c>
      <c r="AE455" s="12"/>
      <c r="AF455" s="12"/>
      <c r="AG455" s="12"/>
      <c r="AH455" s="12"/>
      <c r="AI455" s="12" t="s">
        <v>701</v>
      </c>
      <c r="AJ455" s="12"/>
      <c r="AK455" s="12"/>
      <c r="AL455" s="12"/>
      <c r="AM455" s="12" t="s">
        <v>701</v>
      </c>
      <c r="AN455" s="12"/>
      <c r="AO455" s="12" t="s">
        <v>701</v>
      </c>
      <c r="AP455" s="12" t="s">
        <v>701</v>
      </c>
      <c r="AQ455" s="12"/>
    </row>
    <row r="456" spans="1:43" ht="13.5">
      <c r="A456" s="11" t="s">
        <v>474</v>
      </c>
      <c r="B456" s="12" t="s">
        <v>593</v>
      </c>
      <c r="C456" s="12" t="s">
        <v>701</v>
      </c>
      <c r="D456" s="12"/>
      <c r="E456" s="12"/>
      <c r="F456" s="12" t="s">
        <v>701</v>
      </c>
      <c r="G456" s="12"/>
      <c r="H456" s="12" t="s">
        <v>701</v>
      </c>
      <c r="I456" s="12"/>
      <c r="J456" s="12" t="s">
        <v>701</v>
      </c>
      <c r="K456" s="12"/>
      <c r="L456" s="12"/>
      <c r="M456" s="12"/>
      <c r="N456" s="12"/>
      <c r="O456" s="12" t="s">
        <v>701</v>
      </c>
      <c r="P456" s="12"/>
      <c r="Q456" s="12" t="s">
        <v>701</v>
      </c>
      <c r="R456" s="12" t="s">
        <v>701</v>
      </c>
      <c r="S456" s="12"/>
      <c r="T456" s="12"/>
      <c r="U456" s="12"/>
      <c r="V456" s="12"/>
      <c r="W456" s="12"/>
      <c r="X456" s="12" t="s">
        <v>701</v>
      </c>
      <c r="Y456" s="12" t="s">
        <v>701</v>
      </c>
      <c r="Z456" s="12" t="s">
        <v>701</v>
      </c>
      <c r="AA456" s="12" t="s">
        <v>701</v>
      </c>
      <c r="AB456" s="12"/>
      <c r="AC456" s="12" t="str">
        <f>IF(OR(NOT(ISBLANK(AF456)), NOT(ISBLANK(AG456)), NOT(ISBLANK(AQ456)), NOT(ISBLANK(AN456))), "x", "")</f>
        <v/>
      </c>
      <c r="AD456" s="12" t="s">
        <v>701</v>
      </c>
      <c r="AE456" s="12"/>
      <c r="AF456" s="12"/>
      <c r="AG456" s="12"/>
      <c r="AH456" s="12"/>
      <c r="AI456" s="12" t="s">
        <v>701</v>
      </c>
      <c r="AJ456" s="12"/>
      <c r="AK456" s="12"/>
      <c r="AL456" s="12"/>
      <c r="AM456" s="12" t="s">
        <v>701</v>
      </c>
      <c r="AN456" s="12"/>
      <c r="AO456" s="12" t="s">
        <v>701</v>
      </c>
      <c r="AP456" s="12" t="s">
        <v>701</v>
      </c>
      <c r="AQ456" s="12"/>
    </row>
    <row r="457" spans="1:43" ht="13.5">
      <c r="A457" s="11" t="s">
        <v>475</v>
      </c>
      <c r="B457" s="12" t="s">
        <v>600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 t="str">
        <f>IF(OR(NOT(ISBLANK(AF457)), NOT(ISBLANK(AG457)), NOT(ISBLANK(AQ457)), NOT(ISBLANK(AN457))), "x", "")</f>
        <v/>
      </c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</row>
    <row r="458" spans="1:43" ht="13.5">
      <c r="A458" s="11" t="s">
        <v>476</v>
      </c>
      <c r="B458" s="12" t="s">
        <v>600</v>
      </c>
      <c r="C458" s="12"/>
      <c r="D458" s="12" t="s">
        <v>701</v>
      </c>
      <c r="E458" s="12"/>
      <c r="F458" s="12" t="s">
        <v>701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 t="s">
        <v>701</v>
      </c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 t="str">
        <f>IF(OR(NOT(ISBLANK(AF458)), NOT(ISBLANK(AG458)), NOT(ISBLANK(AQ458)), NOT(ISBLANK(AN458))), "x", "")</f>
        <v/>
      </c>
      <c r="AD458" s="12"/>
      <c r="AE458" s="12"/>
      <c r="AF458" s="12"/>
      <c r="AG458" s="12"/>
      <c r="AH458" s="12"/>
      <c r="AI458" s="12" t="s">
        <v>701</v>
      </c>
      <c r="AJ458" s="12"/>
      <c r="AK458" s="12"/>
      <c r="AL458" s="12"/>
      <c r="AM458" s="12"/>
      <c r="AN458" s="12"/>
      <c r="AO458" s="12"/>
      <c r="AP458" s="12"/>
      <c r="AQ458" s="12"/>
    </row>
    <row r="459" spans="1:43" ht="13.5">
      <c r="A459" s="11" t="s">
        <v>477</v>
      </c>
      <c r="B459" s="12" t="s">
        <v>599</v>
      </c>
      <c r="C459" s="12" t="s">
        <v>701</v>
      </c>
      <c r="D459" s="12" t="s">
        <v>701</v>
      </c>
      <c r="E459" s="12"/>
      <c r="F459" s="12" t="s">
        <v>701</v>
      </c>
      <c r="G459" s="12" t="s">
        <v>701</v>
      </c>
      <c r="H459" s="12" t="s">
        <v>701</v>
      </c>
      <c r="I459" s="12"/>
      <c r="J459" s="12"/>
      <c r="K459" s="12"/>
      <c r="L459" s="12"/>
      <c r="M459" s="12" t="s">
        <v>701</v>
      </c>
      <c r="N459" s="12"/>
      <c r="O459" s="12" t="s">
        <v>701</v>
      </c>
      <c r="P459" s="12"/>
      <c r="Q459" s="12" t="s">
        <v>701</v>
      </c>
      <c r="R459" s="12" t="s">
        <v>701</v>
      </c>
      <c r="S459" s="12" t="s">
        <v>701</v>
      </c>
      <c r="T459" s="12" t="s">
        <v>701</v>
      </c>
      <c r="U459" s="12" t="s">
        <v>701</v>
      </c>
      <c r="V459" s="12" t="s">
        <v>701</v>
      </c>
      <c r="W459" s="12"/>
      <c r="X459" s="12"/>
      <c r="Y459" s="12" t="s">
        <v>701</v>
      </c>
      <c r="Z459" s="12" t="s">
        <v>701</v>
      </c>
      <c r="AA459" s="12" t="s">
        <v>701</v>
      </c>
      <c r="AB459" s="12"/>
      <c r="AC459" s="12" t="str">
        <f>IF(OR(NOT(ISBLANK(AF459)), NOT(ISBLANK(AG459)), NOT(ISBLANK(AQ459)), NOT(ISBLANK(AN459))), "x", "")</f>
        <v/>
      </c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</row>
    <row r="460" spans="1:43" ht="13.5">
      <c r="A460" s="11" t="s">
        <v>478</v>
      </c>
      <c r="B460" s="12" t="s">
        <v>600</v>
      </c>
      <c r="C460" s="12"/>
      <c r="D460" s="12" t="s">
        <v>701</v>
      </c>
      <c r="E460" s="12"/>
      <c r="F460" s="12" t="s">
        <v>701</v>
      </c>
      <c r="G460" s="12"/>
      <c r="H460" s="12"/>
      <c r="I460" s="12"/>
      <c r="J460" s="12"/>
      <c r="K460" s="12"/>
      <c r="L460" s="12"/>
      <c r="M460" s="12"/>
      <c r="N460" s="12"/>
      <c r="O460" s="12" t="s">
        <v>701</v>
      </c>
      <c r="P460" s="12"/>
      <c r="Q460" s="12"/>
      <c r="R460" s="12" t="s">
        <v>701</v>
      </c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 t="str" cm="1">
        <f t="array" ref="AC460">IF(OR(NOT(ISBLANK(AG46x)), NOT(ISBLANK(AH46x)), NOT(ISBLANK(AR46x)), NOT(ISBLANK(AO46x))), "x", "")</f>
        <v>x</v>
      </c>
      <c r="AD460" s="12"/>
      <c r="AE460" s="12"/>
      <c r="AF460" s="12"/>
      <c r="AG460" s="12"/>
      <c r="AH460" s="12"/>
      <c r="AI460" s="12" t="s">
        <v>701</v>
      </c>
      <c r="AJ460" s="12"/>
      <c r="AK460" s="12"/>
      <c r="AL460" s="12"/>
      <c r="AM460" s="12"/>
      <c r="AN460" s="12"/>
      <c r="AO460" s="12"/>
      <c r="AP460" s="12"/>
      <c r="AQ460" s="12"/>
    </row>
    <row r="461" spans="1:43" ht="13.5">
      <c r="A461" s="11" t="s">
        <v>479</v>
      </c>
      <c r="B461" s="12" t="s">
        <v>597</v>
      </c>
      <c r="C461" s="12" t="s">
        <v>701</v>
      </c>
      <c r="D461" s="12" t="s">
        <v>701</v>
      </c>
      <c r="E461" s="12"/>
      <c r="F461" s="12" t="s">
        <v>701</v>
      </c>
      <c r="G461" s="12" t="s">
        <v>701</v>
      </c>
      <c r="H461" s="12" t="s">
        <v>701</v>
      </c>
      <c r="I461" s="12"/>
      <c r="J461" s="12" t="s">
        <v>701</v>
      </c>
      <c r="K461" s="12"/>
      <c r="L461" s="12"/>
      <c r="M461" s="12" t="s">
        <v>701</v>
      </c>
      <c r="N461" s="12"/>
      <c r="O461" s="12" t="s">
        <v>701</v>
      </c>
      <c r="P461" s="12"/>
      <c r="Q461" s="12" t="s">
        <v>701</v>
      </c>
      <c r="R461" s="12" t="s">
        <v>701</v>
      </c>
      <c r="S461" s="12" t="s">
        <v>701</v>
      </c>
      <c r="T461" s="12"/>
      <c r="U461" s="12" t="s">
        <v>701</v>
      </c>
      <c r="V461" s="12" t="s">
        <v>701</v>
      </c>
      <c r="W461" s="12" t="s">
        <v>701</v>
      </c>
      <c r="X461" s="12"/>
      <c r="Y461" s="12" t="s">
        <v>701</v>
      </c>
      <c r="Z461" s="12" t="s">
        <v>701</v>
      </c>
      <c r="AA461" s="12" t="s">
        <v>701</v>
      </c>
      <c r="AB461" s="12"/>
      <c r="AC461" s="12" t="str">
        <f>IF(OR(NOT(ISBLANK(AF461)), NOT(ISBLANK(AG461)), NOT(ISBLANK(AQ461)), NOT(ISBLANK(AN461))), "x", "")</f>
        <v>x</v>
      </c>
      <c r="AD461" s="12" t="s">
        <v>701</v>
      </c>
      <c r="AE461" s="12" t="s">
        <v>701</v>
      </c>
      <c r="AF461" s="12" t="s">
        <v>701</v>
      </c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</row>
    <row r="462" spans="1:43" ht="13.5">
      <c r="A462" s="11" t="s">
        <v>480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 t="str">
        <f>IF(OR(NOT(ISBLANK(AF462)), NOT(ISBLANK(AG462)), NOT(ISBLANK(AQ462)), NOT(ISBLANK(AN462))), "x", "")</f>
        <v/>
      </c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</row>
    <row r="463" spans="1:43" ht="13.5">
      <c r="A463" s="11" t="s">
        <v>481</v>
      </c>
      <c r="B463" s="12" t="s">
        <v>598</v>
      </c>
      <c r="C463" s="12"/>
      <c r="D463" s="12"/>
      <c r="E463" s="12" t="s">
        <v>701</v>
      </c>
      <c r="F463" s="12" t="s">
        <v>701</v>
      </c>
      <c r="G463" s="12" t="s">
        <v>701</v>
      </c>
      <c r="H463" s="12"/>
      <c r="I463" s="12" t="s">
        <v>701</v>
      </c>
      <c r="J463" s="12"/>
      <c r="K463" s="12"/>
      <c r="L463" s="12"/>
      <c r="M463" s="12"/>
      <c r="N463" s="12"/>
      <c r="O463" s="12" t="s">
        <v>701</v>
      </c>
      <c r="P463" s="12"/>
      <c r="Q463" s="12" t="s">
        <v>701</v>
      </c>
      <c r="R463" s="12"/>
      <c r="S463" s="12"/>
      <c r="T463" s="12"/>
      <c r="U463" s="12"/>
      <c r="V463" s="12"/>
      <c r="W463" s="12" t="s">
        <v>701</v>
      </c>
      <c r="X463" s="12"/>
      <c r="Y463" s="12"/>
      <c r="Z463" s="12"/>
      <c r="AA463" s="12"/>
      <c r="AB463" s="12"/>
      <c r="AC463" s="12" t="str">
        <f>IF(OR(NOT(ISBLANK(AF463)), NOT(ISBLANK(AG463)), NOT(ISBLANK(AQ463)), NOT(ISBLANK(AN463))), "x", "")</f>
        <v/>
      </c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</row>
    <row r="464" spans="1:43" ht="13.5">
      <c r="A464" s="11" t="s">
        <v>482</v>
      </c>
      <c r="B464" s="12" t="s">
        <v>592</v>
      </c>
      <c r="C464" s="12"/>
      <c r="D464" s="12" t="s">
        <v>701</v>
      </c>
      <c r="E464" s="12"/>
      <c r="F464" s="12" t="s">
        <v>701</v>
      </c>
      <c r="G464" s="12" t="s">
        <v>701</v>
      </c>
      <c r="H464" s="12" t="s">
        <v>701</v>
      </c>
      <c r="I464" s="12"/>
      <c r="J464" s="12" t="s">
        <v>701</v>
      </c>
      <c r="K464" s="12"/>
      <c r="L464" s="12"/>
      <c r="M464" s="12"/>
      <c r="N464" s="12"/>
      <c r="O464" s="12" t="s">
        <v>701</v>
      </c>
      <c r="P464" s="12"/>
      <c r="Q464" s="12"/>
      <c r="R464" s="12"/>
      <c r="S464" s="12"/>
      <c r="T464" s="12"/>
      <c r="U464" s="12"/>
      <c r="V464" s="12"/>
      <c r="W464" s="12" t="s">
        <v>701</v>
      </c>
      <c r="X464" s="12"/>
      <c r="Y464" s="12" t="s">
        <v>701</v>
      </c>
      <c r="Z464" s="12" t="s">
        <v>701</v>
      </c>
      <c r="AA464" s="12" t="s">
        <v>701</v>
      </c>
      <c r="AB464" s="12"/>
      <c r="AC464" s="12" t="str">
        <f>IF(OR(NOT(ISBLANK(AF464)), NOT(ISBLANK(AG464)), NOT(ISBLANK(AQ464)), NOT(ISBLANK(AN464))), "x", "")</f>
        <v>x</v>
      </c>
      <c r="AD464" s="12" t="s">
        <v>701</v>
      </c>
      <c r="AE464" s="12"/>
      <c r="AF464" s="12" t="s">
        <v>701</v>
      </c>
      <c r="AG464" s="12"/>
      <c r="AH464" s="12"/>
      <c r="AI464" s="12"/>
      <c r="AJ464" s="12"/>
      <c r="AK464" s="12"/>
      <c r="AL464" s="12"/>
      <c r="AM464" s="12" t="s">
        <v>701</v>
      </c>
      <c r="AN464" s="12"/>
      <c r="AO464" s="12"/>
      <c r="AP464" s="12" t="s">
        <v>701</v>
      </c>
      <c r="AQ464" s="12" t="s">
        <v>701</v>
      </c>
    </row>
    <row r="465" spans="1:43" ht="13.5">
      <c r="A465" s="11" t="s">
        <v>483</v>
      </c>
      <c r="B465" s="12" t="s">
        <v>604</v>
      </c>
      <c r="C465" s="12" t="s">
        <v>701</v>
      </c>
      <c r="D465" s="12"/>
      <c r="E465" s="12"/>
      <c r="F465" s="12" t="s">
        <v>701</v>
      </c>
      <c r="G465" s="12" t="s">
        <v>701</v>
      </c>
      <c r="H465" s="12" t="s">
        <v>701</v>
      </c>
      <c r="I465" s="12" t="s">
        <v>701</v>
      </c>
      <c r="J465" s="12"/>
      <c r="K465" s="12"/>
      <c r="L465" s="12"/>
      <c r="M465" s="12" t="s">
        <v>701</v>
      </c>
      <c r="N465" s="12"/>
      <c r="O465" s="12" t="s">
        <v>701</v>
      </c>
      <c r="P465" s="12"/>
      <c r="Q465" s="12"/>
      <c r="R465" s="12"/>
      <c r="S465" s="12"/>
      <c r="T465" s="12"/>
      <c r="U465" s="12"/>
      <c r="V465" s="12" t="s">
        <v>701</v>
      </c>
      <c r="W465" s="12" t="s">
        <v>701</v>
      </c>
      <c r="X465" s="12" t="s">
        <v>701</v>
      </c>
      <c r="Y465" s="12" t="s">
        <v>701</v>
      </c>
      <c r="Z465" s="12" t="s">
        <v>701</v>
      </c>
      <c r="AA465" s="12" t="s">
        <v>701</v>
      </c>
      <c r="AB465" s="12"/>
      <c r="AC465" s="12" t="str">
        <f>IF(OR(NOT(ISBLANK(AF465)), NOT(ISBLANK(AG465)), NOT(ISBLANK(AQ465)), NOT(ISBLANK(AN465))), "x", "")</f>
        <v>x</v>
      </c>
      <c r="AD465" s="12" t="s">
        <v>701</v>
      </c>
      <c r="AE465" s="12"/>
      <c r="AF465" s="12" t="s">
        <v>701</v>
      </c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</row>
    <row r="466" spans="1:43" ht="13.5">
      <c r="A466" s="11" t="s">
        <v>484</v>
      </c>
      <c r="B466" s="12" t="s">
        <v>599</v>
      </c>
      <c r="C466" s="12" t="s">
        <v>701</v>
      </c>
      <c r="D466" s="12" t="s">
        <v>701</v>
      </c>
      <c r="E466" s="12"/>
      <c r="F466" s="12" t="s">
        <v>701</v>
      </c>
      <c r="G466" s="12" t="s">
        <v>701</v>
      </c>
      <c r="H466" s="12" t="s">
        <v>701</v>
      </c>
      <c r="I466" s="12" t="s">
        <v>701</v>
      </c>
      <c r="J466" s="12"/>
      <c r="K466" s="12"/>
      <c r="L466" s="12"/>
      <c r="M466" s="12" t="s">
        <v>701</v>
      </c>
      <c r="N466" s="12"/>
      <c r="O466" s="12" t="s">
        <v>701</v>
      </c>
      <c r="P466" s="12"/>
      <c r="Q466" s="12"/>
      <c r="R466" s="12"/>
      <c r="S466" s="12"/>
      <c r="T466" s="12"/>
      <c r="U466" s="12"/>
      <c r="V466" s="12" t="s">
        <v>701</v>
      </c>
      <c r="W466" s="12" t="s">
        <v>701</v>
      </c>
      <c r="X466" s="12" t="s">
        <v>701</v>
      </c>
      <c r="Y466" s="12" t="s">
        <v>701</v>
      </c>
      <c r="Z466" s="12" t="s">
        <v>701</v>
      </c>
      <c r="AA466" s="12" t="s">
        <v>701</v>
      </c>
      <c r="AB466" s="12"/>
      <c r="AC466" s="12" t="str">
        <f>IF(OR(NOT(ISBLANK(AF466)), NOT(ISBLANK(AG466)), NOT(ISBLANK(AQ466)), NOT(ISBLANK(AN466))), "x", "")</f>
        <v/>
      </c>
      <c r="AD466" s="12" t="s">
        <v>701</v>
      </c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</row>
    <row r="467" spans="1:43" ht="13.5">
      <c r="A467" s="11" t="s">
        <v>485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 t="str">
        <f>IF(OR(NOT(ISBLANK(AF467)), NOT(ISBLANK(AG467)), NOT(ISBLANK(AQ467)), NOT(ISBLANK(AN467))), "x", "")</f>
        <v/>
      </c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</row>
    <row r="468" spans="1:43" ht="13.5">
      <c r="A468" s="11" t="s">
        <v>486</v>
      </c>
      <c r="B468" s="12" t="s">
        <v>604</v>
      </c>
      <c r="C468" s="12" t="s">
        <v>701</v>
      </c>
      <c r="D468" s="12"/>
      <c r="E468" s="12"/>
      <c r="F468" s="12" t="s">
        <v>701</v>
      </c>
      <c r="G468" s="12"/>
      <c r="H468" s="12" t="s">
        <v>701</v>
      </c>
      <c r="I468" s="12" t="s">
        <v>701</v>
      </c>
      <c r="J468" s="12"/>
      <c r="K468" s="12"/>
      <c r="L468" s="12"/>
      <c r="M468" s="12" t="s">
        <v>701</v>
      </c>
      <c r="N468" s="12"/>
      <c r="O468" s="12" t="s">
        <v>701</v>
      </c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 t="str">
        <f>IF(OR(NOT(ISBLANK(AF468)), NOT(ISBLANK(AG468)), NOT(ISBLANK(AQ468)), NOT(ISBLANK(AN468))), "x", "")</f>
        <v/>
      </c>
      <c r="AD468" s="12" t="s">
        <v>701</v>
      </c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</row>
    <row r="469" spans="1:43" ht="13.5">
      <c r="A469" s="11" t="s">
        <v>487</v>
      </c>
      <c r="B469" s="12" t="s">
        <v>587</v>
      </c>
      <c r="C469" s="12" t="s">
        <v>701</v>
      </c>
      <c r="D469" s="12" t="s">
        <v>701</v>
      </c>
      <c r="E469" s="12" t="s">
        <v>701</v>
      </c>
      <c r="F469" s="12" t="s">
        <v>701</v>
      </c>
      <c r="G469" s="12" t="s">
        <v>701</v>
      </c>
      <c r="H469" s="12" t="s">
        <v>701</v>
      </c>
      <c r="I469" s="12"/>
      <c r="J469" s="12"/>
      <c r="K469" s="12"/>
      <c r="L469" s="12"/>
      <c r="M469" s="12" t="s">
        <v>701</v>
      </c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 t="str">
        <f>IF(OR(NOT(ISBLANK(AF469)), NOT(ISBLANK(AG469)), NOT(ISBLANK(AQ469)), NOT(ISBLANK(AN469))), "x", "")</f>
        <v/>
      </c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</row>
    <row r="470" spans="1:43" ht="13.5">
      <c r="A470" s="11" t="s">
        <v>488</v>
      </c>
      <c r="B470" s="12" t="s">
        <v>597</v>
      </c>
      <c r="C470" s="12" t="s">
        <v>701</v>
      </c>
      <c r="D470" s="12" t="s">
        <v>701</v>
      </c>
      <c r="E470" s="12"/>
      <c r="F470" s="12" t="s">
        <v>701</v>
      </c>
      <c r="G470" s="12" t="s">
        <v>701</v>
      </c>
      <c r="H470" s="12" t="s">
        <v>701</v>
      </c>
      <c r="I470" s="12"/>
      <c r="J470" s="12"/>
      <c r="K470" s="12"/>
      <c r="L470" s="12"/>
      <c r="M470" s="12" t="s">
        <v>701</v>
      </c>
      <c r="N470" s="12"/>
      <c r="O470" s="12" t="s">
        <v>701</v>
      </c>
      <c r="P470" s="12"/>
      <c r="Q470" s="12" t="s">
        <v>701</v>
      </c>
      <c r="R470" s="12"/>
      <c r="S470" s="12" t="s">
        <v>701</v>
      </c>
      <c r="T470" s="12"/>
      <c r="U470" s="12"/>
      <c r="V470" s="12"/>
      <c r="W470" s="12"/>
      <c r="X470" s="12"/>
      <c r="Y470" s="12"/>
      <c r="Z470" s="12"/>
      <c r="AA470" s="12"/>
      <c r="AB470" s="12"/>
      <c r="AC470" s="12" t="str" cm="1">
        <f t="array" ref="AC470">IF(OR(NOT(ISBLANK(AG47x)), NOT(ISBLANK(AH47x)), NOT(ISBLANK(AR47x)), NOT(ISBLANK(AO47x))), "x", "")</f>
        <v>x</v>
      </c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</row>
    <row r="471" spans="1:43" ht="13.5">
      <c r="A471" s="11" t="s">
        <v>489</v>
      </c>
      <c r="B471" s="12" t="s">
        <v>598</v>
      </c>
      <c r="C471" s="12"/>
      <c r="D471" s="12" t="s">
        <v>701</v>
      </c>
      <c r="E471" s="12"/>
      <c r="F471" s="12" t="s">
        <v>701</v>
      </c>
      <c r="G471" s="12" t="s">
        <v>701</v>
      </c>
      <c r="H471" s="12" t="s">
        <v>701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 t="s">
        <v>701</v>
      </c>
      <c r="T471" s="12"/>
      <c r="U471" s="12" t="s">
        <v>701</v>
      </c>
      <c r="V471" s="12"/>
      <c r="W471" s="12" t="s">
        <v>701</v>
      </c>
      <c r="X471" s="12"/>
      <c r="Y471" s="12"/>
      <c r="Z471" s="12" t="s">
        <v>701</v>
      </c>
      <c r="AA471" s="12" t="s">
        <v>701</v>
      </c>
      <c r="AB471" s="12"/>
      <c r="AC471" s="12" t="str">
        <f>IF(OR(NOT(ISBLANK(AF471)), NOT(ISBLANK(AG471)), NOT(ISBLANK(AQ471)), NOT(ISBLANK(AN471))), "x", "")</f>
        <v>x</v>
      </c>
      <c r="AD471" s="12"/>
      <c r="AE471" s="12"/>
      <c r="AF471" s="12"/>
      <c r="AG471" s="12" t="s">
        <v>701</v>
      </c>
      <c r="AH471" s="12"/>
      <c r="AI471" s="12"/>
      <c r="AJ471" s="12"/>
      <c r="AK471" s="12"/>
      <c r="AL471" s="12"/>
      <c r="AM471" s="12" t="s">
        <v>701</v>
      </c>
      <c r="AN471" s="12"/>
      <c r="AO471" s="12" t="s">
        <v>701</v>
      </c>
      <c r="AP471" s="12"/>
      <c r="AQ471" s="12"/>
    </row>
    <row r="472" spans="1:43" ht="13.5">
      <c r="A472" s="11" t="s">
        <v>490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 t="str">
        <f>IF(OR(NOT(ISBLANK(AF472)), NOT(ISBLANK(AG472)), NOT(ISBLANK(AQ472)), NOT(ISBLANK(AN472))), "x", "")</f>
        <v/>
      </c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</row>
    <row r="473" spans="1:43" ht="13.5">
      <c r="A473" s="11" t="s">
        <v>491</v>
      </c>
      <c r="B473" s="12" t="s">
        <v>591</v>
      </c>
      <c r="C473" s="12" t="s">
        <v>701</v>
      </c>
      <c r="D473" s="12" t="s">
        <v>701</v>
      </c>
      <c r="E473" s="12"/>
      <c r="F473" s="12"/>
      <c r="G473" s="12"/>
      <c r="H473" s="12" t="s">
        <v>701</v>
      </c>
      <c r="I473" s="12" t="s">
        <v>701</v>
      </c>
      <c r="J473" s="12" t="s">
        <v>701</v>
      </c>
      <c r="K473" s="12"/>
      <c r="L473" s="12"/>
      <c r="M473" s="12"/>
      <c r="N473" s="12"/>
      <c r="O473" s="12" t="s">
        <v>701</v>
      </c>
      <c r="P473" s="12"/>
      <c r="Q473" s="12"/>
      <c r="R473" s="12"/>
      <c r="S473" s="12" t="s">
        <v>701</v>
      </c>
      <c r="T473" s="12"/>
      <c r="U473" s="12"/>
      <c r="V473" s="12" t="s">
        <v>701</v>
      </c>
      <c r="W473" s="12" t="s">
        <v>701</v>
      </c>
      <c r="X473" s="12" t="s">
        <v>701</v>
      </c>
      <c r="Y473" s="12" t="s">
        <v>701</v>
      </c>
      <c r="Z473" s="12" t="s">
        <v>701</v>
      </c>
      <c r="AA473" s="12" t="s">
        <v>701</v>
      </c>
      <c r="AB473" s="12"/>
      <c r="AC473" s="12" t="str">
        <f>IF(OR(NOT(ISBLANK(AF473)), NOT(ISBLANK(AG473)), NOT(ISBLANK(AQ473)), NOT(ISBLANK(AN473))), "x", "")</f>
        <v>x</v>
      </c>
      <c r="AD473" s="12" t="s">
        <v>701</v>
      </c>
      <c r="AE473" s="12"/>
      <c r="AF473" s="12" t="s">
        <v>701</v>
      </c>
      <c r="AG473" s="12"/>
      <c r="AH473" s="12"/>
      <c r="AI473" s="12"/>
      <c r="AJ473" s="12"/>
      <c r="AK473" s="12"/>
      <c r="AL473" s="12"/>
      <c r="AM473" s="12" t="s">
        <v>701</v>
      </c>
      <c r="AN473" s="12"/>
      <c r="AO473" s="12" t="s">
        <v>701</v>
      </c>
      <c r="AP473" s="12" t="s">
        <v>701</v>
      </c>
      <c r="AQ473" s="12"/>
    </row>
    <row r="474" spans="1:43" ht="13.5">
      <c r="A474" s="11" t="s">
        <v>492</v>
      </c>
      <c r="B474" s="12" t="s">
        <v>587</v>
      </c>
      <c r="C474" s="12" t="s">
        <v>701</v>
      </c>
      <c r="D474" s="12" t="s">
        <v>701</v>
      </c>
      <c r="E474" s="12"/>
      <c r="F474" s="12"/>
      <c r="G474" s="12" t="s">
        <v>701</v>
      </c>
      <c r="H474" s="12" t="s">
        <v>701</v>
      </c>
      <c r="I474" s="12"/>
      <c r="J474" s="12" t="s">
        <v>701</v>
      </c>
      <c r="K474" s="12" t="s">
        <v>701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 t="s">
        <v>701</v>
      </c>
      <c r="AA474" s="12"/>
      <c r="AB474" s="12" t="s">
        <v>701</v>
      </c>
      <c r="AC474" s="12" t="str">
        <f>IF(OR(NOT(ISBLANK(AF474)), NOT(ISBLANK(AG474)), NOT(ISBLANK(AQ474)), NOT(ISBLANK(AN474))), "x", "")</f>
        <v/>
      </c>
      <c r="AD474" s="12" t="s">
        <v>701</v>
      </c>
      <c r="AE474" s="12"/>
      <c r="AF474" s="12"/>
      <c r="AG474" s="12"/>
      <c r="AH474" s="12"/>
      <c r="AI474" s="12"/>
      <c r="AJ474" s="12"/>
      <c r="AK474" s="12"/>
      <c r="AL474" s="12"/>
      <c r="AM474" s="12" t="s">
        <v>701</v>
      </c>
      <c r="AN474" s="12"/>
      <c r="AO474" s="12" t="s">
        <v>701</v>
      </c>
      <c r="AP474" s="12" t="s">
        <v>701</v>
      </c>
      <c r="AQ474" s="12"/>
    </row>
    <row r="475" spans="1:43" ht="13.5">
      <c r="A475" s="11" t="s">
        <v>493</v>
      </c>
      <c r="B475" s="12" t="s">
        <v>598</v>
      </c>
      <c r="C475" s="12"/>
      <c r="D475" s="12" t="s">
        <v>701</v>
      </c>
      <c r="E475" s="12"/>
      <c r="F475" s="12" t="s">
        <v>701</v>
      </c>
      <c r="G475" s="12" t="s">
        <v>701</v>
      </c>
      <c r="H475" s="12" t="s">
        <v>701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 t="s">
        <v>701</v>
      </c>
      <c r="T475" s="12"/>
      <c r="U475" s="12"/>
      <c r="V475" s="12"/>
      <c r="W475" s="12" t="s">
        <v>701</v>
      </c>
      <c r="X475" s="12"/>
      <c r="Y475" s="12"/>
      <c r="Z475" s="12" t="s">
        <v>701</v>
      </c>
      <c r="AA475" s="12" t="s">
        <v>701</v>
      </c>
      <c r="AB475" s="12"/>
      <c r="AC475" s="12" t="str">
        <f>IF(OR(NOT(ISBLANK(AF475)), NOT(ISBLANK(AG475)), NOT(ISBLANK(AQ475)), NOT(ISBLANK(AN475))), "x", "")</f>
        <v>x</v>
      </c>
      <c r="AD475" s="12"/>
      <c r="AE475" s="12"/>
      <c r="AF475" s="12"/>
      <c r="AG475" s="12" t="s">
        <v>701</v>
      </c>
      <c r="AH475" s="12"/>
      <c r="AI475" s="12"/>
      <c r="AJ475" s="12"/>
      <c r="AK475" s="12"/>
      <c r="AL475" s="12"/>
      <c r="AM475" s="12" t="s">
        <v>701</v>
      </c>
      <c r="AN475" s="12"/>
      <c r="AO475" s="12" t="s">
        <v>701</v>
      </c>
      <c r="AP475" s="12"/>
      <c r="AQ475" s="12"/>
    </row>
    <row r="476" spans="1:43" ht="13.5">
      <c r="A476" s="11" t="s">
        <v>494</v>
      </c>
      <c r="B476" s="12" t="s">
        <v>589</v>
      </c>
      <c r="C476" s="12" t="s">
        <v>701</v>
      </c>
      <c r="D476" s="12" t="s">
        <v>701</v>
      </c>
      <c r="E476" s="12"/>
      <c r="F476" s="12" t="s">
        <v>701</v>
      </c>
      <c r="G476" s="12" t="s">
        <v>701</v>
      </c>
      <c r="H476" s="12" t="s">
        <v>701</v>
      </c>
      <c r="I476" s="12"/>
      <c r="J476" s="12"/>
      <c r="K476" s="12" t="s">
        <v>701</v>
      </c>
      <c r="L476" s="12"/>
      <c r="M476" s="12"/>
      <c r="N476" s="12"/>
      <c r="O476" s="12" t="s">
        <v>701</v>
      </c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 t="str">
        <f>IF(OR(NOT(ISBLANK(AF476)), NOT(ISBLANK(AG476)), NOT(ISBLANK(AQ476)), NOT(ISBLANK(AN476))), "x", "")</f>
        <v/>
      </c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</row>
    <row r="477" spans="1:43" ht="13.5">
      <c r="A477" s="11" t="s">
        <v>495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 t="str">
        <f>IF(OR(NOT(ISBLANK(AF477)), NOT(ISBLANK(AG477)), NOT(ISBLANK(AQ477)), NOT(ISBLANK(AN477))), "x", "")</f>
        <v/>
      </c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</row>
    <row r="478" spans="1:43" ht="13.5">
      <c r="A478" s="11" t="s">
        <v>496</v>
      </c>
      <c r="B478" s="12" t="s">
        <v>589</v>
      </c>
      <c r="C478" s="12" t="s">
        <v>701</v>
      </c>
      <c r="D478" s="12"/>
      <c r="E478" s="12"/>
      <c r="F478" s="12" t="s">
        <v>701</v>
      </c>
      <c r="G478" s="12" t="s">
        <v>701</v>
      </c>
      <c r="H478" s="12" t="s">
        <v>701</v>
      </c>
      <c r="I478" s="12" t="s">
        <v>701</v>
      </c>
      <c r="J478" s="12" t="s">
        <v>701</v>
      </c>
      <c r="K478" s="12"/>
      <c r="L478" s="12"/>
      <c r="M478" s="12"/>
      <c r="N478" s="12"/>
      <c r="O478" s="12" t="s">
        <v>701</v>
      </c>
      <c r="P478" s="12"/>
      <c r="Q478" s="12" t="s">
        <v>701</v>
      </c>
      <c r="R478" s="12"/>
      <c r="S478" s="12"/>
      <c r="T478" s="12"/>
      <c r="U478" s="12"/>
      <c r="V478" s="12"/>
      <c r="W478" s="12"/>
      <c r="X478" s="12" t="s">
        <v>701</v>
      </c>
      <c r="Y478" s="12" t="s">
        <v>701</v>
      </c>
      <c r="Z478" s="12"/>
      <c r="AA478" s="12"/>
      <c r="AB478" s="12"/>
      <c r="AC478" s="12" t="str">
        <f>IF(OR(NOT(ISBLANK(AF478)), NOT(ISBLANK(AG478)), NOT(ISBLANK(AQ478)), NOT(ISBLANK(AN478))), "x", "")</f>
        <v/>
      </c>
      <c r="AD478" s="12" t="s">
        <v>701</v>
      </c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</row>
    <row r="479" spans="1:43" ht="13.5">
      <c r="A479" s="11" t="s">
        <v>497</v>
      </c>
      <c r="B479" s="12" t="s">
        <v>593</v>
      </c>
      <c r="C479" s="12"/>
      <c r="D479" s="12" t="s">
        <v>701</v>
      </c>
      <c r="E479" s="12"/>
      <c r="F479" s="12"/>
      <c r="G479" s="12"/>
      <c r="H479" s="12" t="s">
        <v>701</v>
      </c>
      <c r="I479" s="12" t="s">
        <v>701</v>
      </c>
      <c r="J479" s="12" t="s">
        <v>701</v>
      </c>
      <c r="K479" s="12"/>
      <c r="L479" s="12"/>
      <c r="M479" s="12"/>
      <c r="N479" s="12"/>
      <c r="O479" s="12" t="s">
        <v>701</v>
      </c>
      <c r="P479" s="12"/>
      <c r="Q479" s="12"/>
      <c r="R479" s="12"/>
      <c r="S479" s="12" t="s">
        <v>701</v>
      </c>
      <c r="T479" s="12"/>
      <c r="U479" s="12"/>
      <c r="V479" s="12" t="s">
        <v>701</v>
      </c>
      <c r="W479" s="12" t="s">
        <v>701</v>
      </c>
      <c r="X479" s="12" t="s">
        <v>701</v>
      </c>
      <c r="Y479" s="12" t="s">
        <v>701</v>
      </c>
      <c r="Z479" s="12" t="s">
        <v>701</v>
      </c>
      <c r="AA479" s="12" t="s">
        <v>701</v>
      </c>
      <c r="AB479" s="12" t="s">
        <v>701</v>
      </c>
      <c r="AC479" s="12" t="str">
        <f>IF(OR(NOT(ISBLANK(AF479)), NOT(ISBLANK(AG479)), NOT(ISBLANK(AQ479)), NOT(ISBLANK(AN479))), "x", "")</f>
        <v>x</v>
      </c>
      <c r="AD479" s="12" t="s">
        <v>701</v>
      </c>
      <c r="AE479" s="12"/>
      <c r="AF479" s="12" t="s">
        <v>701</v>
      </c>
      <c r="AG479" s="12"/>
      <c r="AH479" s="12"/>
      <c r="AI479" s="12"/>
      <c r="AJ479" s="12"/>
      <c r="AK479" s="12"/>
      <c r="AL479" s="12"/>
      <c r="AM479" s="12" t="s">
        <v>701</v>
      </c>
      <c r="AN479" s="12"/>
      <c r="AO479" s="12" t="s">
        <v>701</v>
      </c>
      <c r="AP479" s="12"/>
      <c r="AQ479" s="12"/>
    </row>
    <row r="480" spans="1:43" ht="13.5">
      <c r="A480" s="11" t="s">
        <v>498</v>
      </c>
      <c r="B480" s="12" t="s">
        <v>593</v>
      </c>
      <c r="C480" s="12"/>
      <c r="D480" s="12" t="s">
        <v>701</v>
      </c>
      <c r="E480" s="12"/>
      <c r="F480" s="12"/>
      <c r="G480" s="12"/>
      <c r="H480" s="12" t="s">
        <v>701</v>
      </c>
      <c r="I480" s="12" t="s">
        <v>701</v>
      </c>
      <c r="J480" s="12" t="s">
        <v>701</v>
      </c>
      <c r="K480" s="12"/>
      <c r="L480" s="12"/>
      <c r="M480" s="12"/>
      <c r="N480" s="12"/>
      <c r="O480" s="12" t="s">
        <v>701</v>
      </c>
      <c r="P480" s="12"/>
      <c r="Q480" s="12"/>
      <c r="R480" s="12"/>
      <c r="S480" s="12" t="s">
        <v>701</v>
      </c>
      <c r="T480" s="12"/>
      <c r="U480" s="12"/>
      <c r="V480" s="12" t="s">
        <v>701</v>
      </c>
      <c r="W480" s="12" t="s">
        <v>701</v>
      </c>
      <c r="X480" s="12" t="s">
        <v>701</v>
      </c>
      <c r="Y480" s="12" t="s">
        <v>701</v>
      </c>
      <c r="Z480" s="12" t="s">
        <v>701</v>
      </c>
      <c r="AA480" s="12" t="s">
        <v>701</v>
      </c>
      <c r="AB480" s="12" t="s">
        <v>701</v>
      </c>
      <c r="AC480" s="12" t="str" cm="1">
        <f t="array" ref="AC480">IF(OR(NOT(ISBLANK(AG48x)), NOT(ISBLANK(AH48x)), NOT(ISBLANK(AR48x)), NOT(ISBLANK(AO48x))), "x", "")</f>
        <v>x</v>
      </c>
      <c r="AD480" s="12" t="s">
        <v>701</v>
      </c>
      <c r="AE480" s="12"/>
      <c r="AF480" s="12" t="s">
        <v>701</v>
      </c>
      <c r="AG480" s="12"/>
      <c r="AH480" s="12"/>
      <c r="AI480" s="12"/>
      <c r="AJ480" s="12"/>
      <c r="AK480" s="12"/>
      <c r="AL480" s="12"/>
      <c r="AM480" s="12" t="s">
        <v>701</v>
      </c>
      <c r="AN480" s="12"/>
      <c r="AO480" s="12" t="s">
        <v>701</v>
      </c>
      <c r="AP480" s="12"/>
      <c r="AQ480" s="12"/>
    </row>
    <row r="481" spans="1:64" ht="13.5">
      <c r="A481" s="11" t="s">
        <v>499</v>
      </c>
      <c r="B481" s="12" t="s">
        <v>598</v>
      </c>
      <c r="C481" s="12"/>
      <c r="D481" s="12" t="s">
        <v>701</v>
      </c>
      <c r="E481" s="12"/>
      <c r="F481" s="12" t="s">
        <v>701</v>
      </c>
      <c r="G481" s="12" t="s">
        <v>701</v>
      </c>
      <c r="H481" s="12" t="s">
        <v>701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 t="s">
        <v>701</v>
      </c>
      <c r="T481" s="12"/>
      <c r="U481" s="12"/>
      <c r="V481" s="12"/>
      <c r="W481" s="12" t="s">
        <v>701</v>
      </c>
      <c r="X481" s="12" t="s">
        <v>701</v>
      </c>
      <c r="Y481" s="12"/>
      <c r="Z481" s="12" t="s">
        <v>701</v>
      </c>
      <c r="AA481" s="12" t="s">
        <v>701</v>
      </c>
      <c r="AB481" s="12"/>
      <c r="AC481" s="12" t="str">
        <f>IF(OR(NOT(ISBLANK(AF481)), NOT(ISBLANK(AG481)), NOT(ISBLANK(AQ481)), NOT(ISBLANK(AN481))), "x", "")</f>
        <v>x</v>
      </c>
      <c r="AD481" s="12"/>
      <c r="AE481" s="12"/>
      <c r="AF481" s="12"/>
      <c r="AG481" s="12" t="s">
        <v>701</v>
      </c>
      <c r="AH481" s="12"/>
      <c r="AI481" s="12"/>
      <c r="AJ481" s="12"/>
      <c r="AK481" s="12"/>
      <c r="AL481" s="12"/>
      <c r="AM481" s="12" t="s">
        <v>701</v>
      </c>
      <c r="AN481" s="12"/>
      <c r="AO481" s="12" t="s">
        <v>701</v>
      </c>
      <c r="AP481" s="12"/>
      <c r="AQ481" s="12"/>
    </row>
    <row r="482" spans="1:64" ht="13.5">
      <c r="A482" s="11" t="s">
        <v>500</v>
      </c>
      <c r="B482" s="12" t="s">
        <v>593</v>
      </c>
      <c r="C482" s="12"/>
      <c r="D482" s="12" t="s">
        <v>701</v>
      </c>
      <c r="E482" s="12"/>
      <c r="F482" s="12"/>
      <c r="G482" s="12"/>
      <c r="H482" s="12" t="s">
        <v>701</v>
      </c>
      <c r="I482" s="12" t="s">
        <v>701</v>
      </c>
      <c r="J482" s="12" t="s">
        <v>701</v>
      </c>
      <c r="K482" s="12"/>
      <c r="L482" s="12"/>
      <c r="M482" s="12"/>
      <c r="N482" s="12"/>
      <c r="O482" s="12" t="s">
        <v>701</v>
      </c>
      <c r="P482" s="12"/>
      <c r="Q482" s="12"/>
      <c r="R482" s="12"/>
      <c r="S482" s="12" t="s">
        <v>701</v>
      </c>
      <c r="T482" s="12"/>
      <c r="U482" s="12"/>
      <c r="V482" s="12" t="s">
        <v>701</v>
      </c>
      <c r="W482" s="12"/>
      <c r="X482" s="12" t="s">
        <v>701</v>
      </c>
      <c r="Y482" s="12" t="s">
        <v>701</v>
      </c>
      <c r="Z482" s="12" t="s">
        <v>701</v>
      </c>
      <c r="AA482" s="12" t="s">
        <v>701</v>
      </c>
      <c r="AB482" s="12" t="s">
        <v>701</v>
      </c>
      <c r="AC482" s="12" t="str">
        <f>IF(OR(NOT(ISBLANK(AF482)), NOT(ISBLANK(AG482)), NOT(ISBLANK(AQ482)), NOT(ISBLANK(AN482))), "x", "")</f>
        <v/>
      </c>
      <c r="AD482" s="12" t="s">
        <v>701</v>
      </c>
      <c r="AE482" s="12"/>
      <c r="AF482" s="12"/>
      <c r="AG482" s="12"/>
      <c r="AH482" s="12"/>
      <c r="AI482" s="12"/>
      <c r="AJ482" s="12"/>
      <c r="AK482" s="12"/>
      <c r="AL482" s="12"/>
      <c r="AM482" s="12" t="s">
        <v>701</v>
      </c>
      <c r="AN482" s="12"/>
      <c r="AO482" s="12" t="s">
        <v>701</v>
      </c>
      <c r="AP482" s="12" t="s">
        <v>701</v>
      </c>
      <c r="AQ482" s="12"/>
    </row>
    <row r="483" spans="1:64" ht="13.5">
      <c r="A483" s="11" t="s">
        <v>501</v>
      </c>
      <c r="B483" s="12" t="s">
        <v>604</v>
      </c>
      <c r="C483" s="12" t="s">
        <v>701</v>
      </c>
      <c r="D483" s="12"/>
      <c r="E483" s="12"/>
      <c r="F483" s="12" t="s">
        <v>701</v>
      </c>
      <c r="G483" s="12"/>
      <c r="H483" s="12" t="s">
        <v>701</v>
      </c>
      <c r="I483" s="12" t="s">
        <v>701</v>
      </c>
      <c r="J483" s="12"/>
      <c r="K483" s="12"/>
      <c r="L483" s="12"/>
      <c r="M483" s="12" t="s">
        <v>701</v>
      </c>
      <c r="N483" s="12"/>
      <c r="O483" s="12" t="s">
        <v>701</v>
      </c>
      <c r="P483" s="12"/>
      <c r="Q483" s="12" t="s">
        <v>701</v>
      </c>
      <c r="R483" s="12"/>
      <c r="S483" s="12"/>
      <c r="T483" s="12"/>
      <c r="U483" s="12"/>
      <c r="V483" s="12"/>
      <c r="W483" s="12"/>
      <c r="X483" s="12" t="s">
        <v>701</v>
      </c>
      <c r="Y483" s="12" t="s">
        <v>701</v>
      </c>
      <c r="Z483" s="12"/>
      <c r="AA483" s="12" t="s">
        <v>701</v>
      </c>
      <c r="AB483" s="12"/>
      <c r="AC483" s="12" t="str">
        <f>IF(OR(NOT(ISBLANK(AF483)), NOT(ISBLANK(AG483)), NOT(ISBLANK(AQ483)), NOT(ISBLANK(AN483))), "x", "")</f>
        <v/>
      </c>
      <c r="AD483" s="12" t="s">
        <v>701</v>
      </c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</row>
    <row r="484" spans="1:64" ht="13.5">
      <c r="A484" s="11" t="s">
        <v>502</v>
      </c>
      <c r="B484" s="12" t="s">
        <v>589</v>
      </c>
      <c r="C484" s="12" t="s">
        <v>701</v>
      </c>
      <c r="D484" s="12"/>
      <c r="E484" s="12"/>
      <c r="F484" s="12" t="s">
        <v>701</v>
      </c>
      <c r="G484" s="12" t="s">
        <v>701</v>
      </c>
      <c r="H484" s="12" t="s">
        <v>701</v>
      </c>
      <c r="I484" s="12" t="s">
        <v>701</v>
      </c>
      <c r="J484" s="12" t="s">
        <v>701</v>
      </c>
      <c r="K484" s="12"/>
      <c r="L484" s="12"/>
      <c r="M484" s="12" t="s">
        <v>701</v>
      </c>
      <c r="N484" s="12"/>
      <c r="O484" s="12" t="s">
        <v>701</v>
      </c>
      <c r="P484" s="12"/>
      <c r="Q484" s="12" t="s">
        <v>701</v>
      </c>
      <c r="R484" s="12"/>
      <c r="S484" s="12" t="s">
        <v>701</v>
      </c>
      <c r="T484" s="12"/>
      <c r="U484" s="12"/>
      <c r="V484" s="12"/>
      <c r="W484" s="12" t="s">
        <v>701</v>
      </c>
      <c r="X484" s="12" t="s">
        <v>701</v>
      </c>
      <c r="Y484" s="12" t="s">
        <v>701</v>
      </c>
      <c r="Z484" s="12"/>
      <c r="AA484" s="12" t="s">
        <v>701</v>
      </c>
      <c r="AB484" s="12"/>
      <c r="AC484" s="12" t="str">
        <f>IF(OR(NOT(ISBLANK(AF484)), NOT(ISBLANK(AG484)), NOT(ISBLANK(AQ484)), NOT(ISBLANK(AN484))), "x", "")</f>
        <v/>
      </c>
      <c r="AD484" s="12" t="s">
        <v>701</v>
      </c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</row>
    <row r="485" spans="1:64" ht="13.5">
      <c r="A485" s="11" t="s">
        <v>503</v>
      </c>
      <c r="B485" s="12" t="s">
        <v>589</v>
      </c>
      <c r="C485" s="12" t="s">
        <v>701</v>
      </c>
      <c r="D485" s="12"/>
      <c r="E485" s="12"/>
      <c r="F485" s="12" t="s">
        <v>701</v>
      </c>
      <c r="G485" s="12" t="s">
        <v>701</v>
      </c>
      <c r="H485" s="12" t="s">
        <v>701</v>
      </c>
      <c r="I485" s="12" t="s">
        <v>701</v>
      </c>
      <c r="J485" s="12" t="s">
        <v>701</v>
      </c>
      <c r="K485" s="12"/>
      <c r="L485" s="12"/>
      <c r="M485" s="12"/>
      <c r="N485" s="12"/>
      <c r="O485" s="12" t="s">
        <v>701</v>
      </c>
      <c r="P485" s="12"/>
      <c r="Q485" s="12" t="s">
        <v>701</v>
      </c>
      <c r="R485" s="12"/>
      <c r="S485" s="12" t="s">
        <v>701</v>
      </c>
      <c r="T485" s="12"/>
      <c r="U485" s="12"/>
      <c r="V485" s="12"/>
      <c r="W485" s="12" t="s">
        <v>701</v>
      </c>
      <c r="X485" s="12" t="s">
        <v>701</v>
      </c>
      <c r="Y485" s="12" t="s">
        <v>701</v>
      </c>
      <c r="Z485" s="12"/>
      <c r="AA485" s="12" t="s">
        <v>701</v>
      </c>
      <c r="AB485" s="12"/>
      <c r="AC485" s="12" t="str">
        <f>IF(OR(NOT(ISBLANK(AF485)), NOT(ISBLANK(AG485)), NOT(ISBLANK(AQ485)), NOT(ISBLANK(AN485))), "x", "")</f>
        <v/>
      </c>
      <c r="AD485" s="12" t="s">
        <v>701</v>
      </c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</row>
    <row r="486" spans="1:64" ht="13.5">
      <c r="A486" s="11" t="s">
        <v>504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 t="str">
        <f>IF(OR(NOT(ISBLANK(AF486)), NOT(ISBLANK(AG486)), NOT(ISBLANK(AQ486)), NOT(ISBLANK(AN486))), "x", "")</f>
        <v/>
      </c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</row>
    <row r="487" spans="1:64" ht="13.5">
      <c r="A487" s="11" t="s">
        <v>505</v>
      </c>
      <c r="B487" s="12" t="s">
        <v>592</v>
      </c>
      <c r="C487" s="12"/>
      <c r="D487" s="12" t="s">
        <v>701</v>
      </c>
      <c r="E487" s="12"/>
      <c r="F487" s="12" t="s">
        <v>701</v>
      </c>
      <c r="G487" s="12" t="s">
        <v>701</v>
      </c>
      <c r="H487" s="12" t="s">
        <v>701</v>
      </c>
      <c r="I487" s="12"/>
      <c r="J487" s="12" t="s">
        <v>701</v>
      </c>
      <c r="K487" s="12"/>
      <c r="L487" s="12"/>
      <c r="M487" s="12"/>
      <c r="N487" s="12"/>
      <c r="O487" s="12" t="s">
        <v>701</v>
      </c>
      <c r="P487" s="12"/>
      <c r="Q487" s="12"/>
      <c r="R487" s="12"/>
      <c r="S487" s="12"/>
      <c r="T487" s="12"/>
      <c r="U487" s="12"/>
      <c r="V487" s="12"/>
      <c r="W487" s="12"/>
      <c r="X487" s="12"/>
      <c r="Y487" s="12" t="s">
        <v>701</v>
      </c>
      <c r="Z487" s="12"/>
      <c r="AA487" s="12" t="s">
        <v>701</v>
      </c>
      <c r="AB487" s="12"/>
      <c r="AC487" s="12" t="str">
        <f>IF(OR(NOT(ISBLANK(AF487)), NOT(ISBLANK(AG487)), NOT(ISBLANK(AQ487)), NOT(ISBLANK(AN487))), "x", "")</f>
        <v>x</v>
      </c>
      <c r="AD487" s="12" t="s">
        <v>701</v>
      </c>
      <c r="AE487" s="12"/>
      <c r="AF487" s="12" t="s">
        <v>701</v>
      </c>
      <c r="AG487" s="12" t="s">
        <v>701</v>
      </c>
      <c r="AH487" s="12" t="s">
        <v>701</v>
      </c>
      <c r="AI487" s="12"/>
      <c r="AJ487" s="12"/>
      <c r="AK487" s="12"/>
      <c r="AL487" s="12"/>
      <c r="AM487" s="12" t="s">
        <v>701</v>
      </c>
      <c r="AN487" s="12"/>
      <c r="AO487" s="12" t="s">
        <v>701</v>
      </c>
      <c r="AP487" s="12" t="s">
        <v>701</v>
      </c>
      <c r="AQ487" s="12" t="s">
        <v>701</v>
      </c>
    </row>
    <row r="488" spans="1:64" ht="13.5">
      <c r="A488" s="11" t="s">
        <v>506</v>
      </c>
      <c r="B488" s="12" t="s">
        <v>587</v>
      </c>
      <c r="C488" s="12" t="s">
        <v>701</v>
      </c>
      <c r="D488" s="12" t="s">
        <v>701</v>
      </c>
      <c r="E488" s="12"/>
      <c r="F488" s="12" t="s">
        <v>701</v>
      </c>
      <c r="G488" s="12" t="s">
        <v>701</v>
      </c>
      <c r="H488" s="12"/>
      <c r="I488" s="12"/>
      <c r="J488" s="12" t="s">
        <v>701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 t="s">
        <v>701</v>
      </c>
      <c r="W488" s="12"/>
      <c r="X488" s="12"/>
      <c r="Y488" s="12"/>
      <c r="Z488" s="12"/>
      <c r="AA488" s="12"/>
      <c r="AB488" s="12"/>
      <c r="AC488" s="12" t="str">
        <f>IF(OR(NOT(ISBLANK(AF488)), NOT(ISBLANK(AG488)), NOT(ISBLANK(AQ488)), NOT(ISBLANK(AN488))), "x", "")</f>
        <v/>
      </c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</row>
    <row r="489" spans="1:64" ht="13.5">
      <c r="A489" s="11" t="s">
        <v>507</v>
      </c>
      <c r="B489" s="12" t="s">
        <v>588</v>
      </c>
      <c r="C489" s="12" t="s">
        <v>701</v>
      </c>
      <c r="D489" s="12" t="s">
        <v>701</v>
      </c>
      <c r="E489" s="12"/>
      <c r="F489" s="12"/>
      <c r="G489" s="12"/>
      <c r="H489" s="12" t="s">
        <v>701</v>
      </c>
      <c r="I489" s="12"/>
      <c r="J489" s="12" t="s">
        <v>701</v>
      </c>
      <c r="K489" s="12"/>
      <c r="L489" s="12"/>
      <c r="M489" s="12"/>
      <c r="N489" s="12"/>
      <c r="O489" s="12" t="s">
        <v>701</v>
      </c>
      <c r="P489" s="12"/>
      <c r="Q489" s="12"/>
      <c r="R489" s="12"/>
      <c r="S489" s="12"/>
      <c r="T489" s="12"/>
      <c r="U489" s="12"/>
      <c r="V489" s="12"/>
      <c r="W489" s="12"/>
      <c r="X489" s="12"/>
      <c r="Y489" s="12" t="s">
        <v>701</v>
      </c>
      <c r="Z489" s="12"/>
      <c r="AA489" s="12" t="s">
        <v>701</v>
      </c>
      <c r="AB489" s="12" t="s">
        <v>701</v>
      </c>
      <c r="AC489" s="12" t="str">
        <f>IF(OR(NOT(ISBLANK(AF489)), NOT(ISBLANK(AG489)), NOT(ISBLANK(AQ489)), NOT(ISBLANK(AN489))), "x", "")</f>
        <v/>
      </c>
      <c r="AD489" s="12" t="s">
        <v>701</v>
      </c>
      <c r="AE489" s="12"/>
      <c r="AF489" s="12"/>
      <c r="AG489" s="12"/>
      <c r="AH489" s="12"/>
      <c r="AI489" s="12"/>
      <c r="AJ489" s="12"/>
      <c r="AK489" s="12"/>
      <c r="AL489" s="12"/>
      <c r="AM489" s="12" t="s">
        <v>701</v>
      </c>
      <c r="AN489" s="12"/>
      <c r="AO489" s="12" t="s">
        <v>701</v>
      </c>
      <c r="AP489" s="12" t="s">
        <v>701</v>
      </c>
      <c r="AQ489" s="12"/>
    </row>
    <row r="490" spans="1:64" ht="13.5">
      <c r="A490" s="11" t="s">
        <v>508</v>
      </c>
      <c r="B490" s="12" t="s">
        <v>593</v>
      </c>
      <c r="C490" s="12"/>
      <c r="D490" s="12" t="s">
        <v>701</v>
      </c>
      <c r="E490" s="12"/>
      <c r="F490" s="12"/>
      <c r="G490" s="12"/>
      <c r="H490" s="12" t="s">
        <v>701</v>
      </c>
      <c r="I490" s="12" t="s">
        <v>701</v>
      </c>
      <c r="J490" s="12" t="s">
        <v>701</v>
      </c>
      <c r="K490" s="12"/>
      <c r="L490" s="12"/>
      <c r="M490" s="12"/>
      <c r="N490" s="12"/>
      <c r="O490" s="12" t="s">
        <v>701</v>
      </c>
      <c r="P490" s="12"/>
      <c r="Q490" s="12"/>
      <c r="R490" s="12"/>
      <c r="S490" s="12" t="s">
        <v>701</v>
      </c>
      <c r="T490" s="12"/>
      <c r="U490" s="12"/>
      <c r="V490" s="12" t="s">
        <v>701</v>
      </c>
      <c r="W490" s="12" t="s">
        <v>701</v>
      </c>
      <c r="X490" s="12" t="s">
        <v>701</v>
      </c>
      <c r="Y490" s="12" t="s">
        <v>701</v>
      </c>
      <c r="Z490" s="12" t="s">
        <v>701</v>
      </c>
      <c r="AA490" s="12" t="s">
        <v>701</v>
      </c>
      <c r="AB490" s="12" t="s">
        <v>701</v>
      </c>
      <c r="AC490" s="12" t="str" cm="1">
        <f t="array" ref="AC490">IF(OR(NOT(ISBLANK(AG49x)), NOT(ISBLANK(AH49x)), NOT(ISBLANK(AR49x)), NOT(ISBLANK(AO49x))), "x", "")</f>
        <v>x</v>
      </c>
      <c r="AD490" s="12" t="s">
        <v>701</v>
      </c>
      <c r="AE490" s="12"/>
      <c r="AF490" s="12" t="s">
        <v>701</v>
      </c>
      <c r="AG490" s="12"/>
      <c r="AH490" s="12"/>
      <c r="AI490" s="12"/>
      <c r="AJ490" s="12"/>
      <c r="AK490" s="12"/>
      <c r="AL490" s="12"/>
      <c r="AM490" s="12" t="s">
        <v>701</v>
      </c>
      <c r="AN490" s="12"/>
      <c r="AO490" s="12" t="s">
        <v>701</v>
      </c>
      <c r="AP490" s="12"/>
      <c r="AQ490" s="12"/>
    </row>
    <row r="491" spans="1:64" ht="13.5">
      <c r="A491" s="11" t="s">
        <v>509</v>
      </c>
      <c r="B491" s="12" t="s">
        <v>597</v>
      </c>
      <c r="C491" s="12"/>
      <c r="D491" s="12"/>
      <c r="E491" s="12" t="s">
        <v>701</v>
      </c>
      <c r="F491" s="12" t="s">
        <v>701</v>
      </c>
      <c r="G491" s="12"/>
      <c r="H491" s="12"/>
      <c r="I491" s="12"/>
      <c r="J491" s="12"/>
      <c r="K491" s="12"/>
      <c r="L491" s="12"/>
      <c r="M491" s="12" t="s">
        <v>701</v>
      </c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 t="str">
        <f>IF(OR(NOT(ISBLANK(AF491)), NOT(ISBLANK(AG491)), NOT(ISBLANK(AQ491)), NOT(ISBLANK(AN491))), "x", "")</f>
        <v/>
      </c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</row>
    <row r="492" spans="1:64">
      <c r="A492" s="11" t="s">
        <v>510</v>
      </c>
      <c r="B492" s="12" t="s">
        <v>598</v>
      </c>
      <c r="C492" s="12"/>
      <c r="D492" s="12" t="s">
        <v>701</v>
      </c>
      <c r="E492" s="12"/>
      <c r="F492" s="12" t="s">
        <v>701</v>
      </c>
      <c r="G492" s="12" t="s">
        <v>701</v>
      </c>
      <c r="H492" s="12" t="s">
        <v>701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 t="s">
        <v>701</v>
      </c>
      <c r="T492" s="12"/>
      <c r="U492" s="12"/>
      <c r="V492" s="12"/>
      <c r="W492" s="12" t="s">
        <v>701</v>
      </c>
      <c r="X492" s="12"/>
      <c r="Y492" s="12"/>
      <c r="Z492" s="12" t="s">
        <v>701</v>
      </c>
      <c r="AA492" s="12" t="s">
        <v>701</v>
      </c>
      <c r="AB492" s="12"/>
      <c r="AC492" s="12" t="str">
        <f>IF(OR(NOT(ISBLANK(AF492)), NOT(ISBLANK(AG492)), NOT(ISBLANK(AQ492)), NOT(ISBLANK(AN492))), "x", "")</f>
        <v>x</v>
      </c>
      <c r="AD492" s="12"/>
      <c r="AE492" s="12"/>
      <c r="AF492" s="12"/>
      <c r="AG492" s="12" t="s">
        <v>701</v>
      </c>
      <c r="AH492" s="12"/>
      <c r="AI492" s="12"/>
      <c r="AJ492" s="12"/>
      <c r="AK492" s="12"/>
      <c r="AL492" s="12"/>
      <c r="AM492" s="12" t="s">
        <v>701</v>
      </c>
      <c r="AN492" s="12"/>
      <c r="AO492" s="12" t="s">
        <v>701</v>
      </c>
      <c r="AP492" s="12"/>
      <c r="AQ492" s="12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</row>
    <row r="493" spans="1:64" ht="13.5">
      <c r="A493" s="11" t="s">
        <v>511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 t="str">
        <f>IF(OR(NOT(ISBLANK(AF493)), NOT(ISBLANK(AG493)), NOT(ISBLANK(AQ493)), NOT(ISBLANK(AN493))), "x", "")</f>
        <v/>
      </c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</row>
    <row r="494" spans="1:64" ht="13.5">
      <c r="A494" s="11" t="s">
        <v>512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 t="str">
        <f>IF(OR(NOT(ISBLANK(AF494)), NOT(ISBLANK(AG494)), NOT(ISBLANK(AQ494)), NOT(ISBLANK(AN494))), "x", "")</f>
        <v/>
      </c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</row>
    <row r="495" spans="1:64" ht="13.5">
      <c r="A495" s="11" t="s">
        <v>513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 t="str">
        <f>IF(OR(NOT(ISBLANK(AF495)), NOT(ISBLANK(AG495)), NOT(ISBLANK(AQ495)), NOT(ISBLANK(AN495))), "x", "")</f>
        <v/>
      </c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</row>
    <row r="496" spans="1:64">
      <c r="A496" s="11" t="s">
        <v>514</v>
      </c>
      <c r="B496" s="12" t="s">
        <v>587</v>
      </c>
      <c r="C496" s="12"/>
      <c r="D496" s="12" t="s">
        <v>701</v>
      </c>
      <c r="E496" s="12"/>
      <c r="F496" s="12" t="s">
        <v>701</v>
      </c>
      <c r="G496" s="12" t="s">
        <v>701</v>
      </c>
      <c r="H496" s="12" t="s">
        <v>701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 t="s">
        <v>701</v>
      </c>
      <c r="T496" s="12"/>
      <c r="U496" s="12"/>
      <c r="V496" s="12"/>
      <c r="W496" s="12" t="s">
        <v>701</v>
      </c>
      <c r="X496" s="12"/>
      <c r="Y496" s="12"/>
      <c r="Z496" s="12"/>
      <c r="AA496" s="12"/>
      <c r="AB496" s="12"/>
      <c r="AC496" s="12" t="str">
        <f>IF(OR(NOT(ISBLANK(AF496)), NOT(ISBLANK(AG496)), NOT(ISBLANK(AQ496)), NOT(ISBLANK(AN496))), "x", "")</f>
        <v/>
      </c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</row>
    <row r="497" spans="1:64">
      <c r="A497" s="11" t="s">
        <v>515</v>
      </c>
      <c r="B497" s="12" t="s">
        <v>588</v>
      </c>
      <c r="C497" s="12" t="s">
        <v>701</v>
      </c>
      <c r="D497" s="12" t="s">
        <v>701</v>
      </c>
      <c r="E497" s="12"/>
      <c r="F497" s="12"/>
      <c r="G497" s="12" t="s">
        <v>701</v>
      </c>
      <c r="H497" s="12"/>
      <c r="I497" s="12" t="s">
        <v>701</v>
      </c>
      <c r="J497" s="12"/>
      <c r="K497" s="12"/>
      <c r="L497" s="12"/>
      <c r="M497" s="12"/>
      <c r="N497" s="12"/>
      <c r="O497" s="12" t="s">
        <v>701</v>
      </c>
      <c r="P497" s="12"/>
      <c r="Q497" s="12"/>
      <c r="R497" s="12"/>
      <c r="S497" s="12"/>
      <c r="T497" s="12"/>
      <c r="U497" s="12"/>
      <c r="V497" s="12" t="s">
        <v>701</v>
      </c>
      <c r="W497" s="12" t="s">
        <v>701</v>
      </c>
      <c r="X497" s="12" t="s">
        <v>701</v>
      </c>
      <c r="Y497" s="12" t="s">
        <v>701</v>
      </c>
      <c r="Z497" s="12" t="s">
        <v>701</v>
      </c>
      <c r="AA497" s="12" t="s">
        <v>701</v>
      </c>
      <c r="AB497" s="12" t="s">
        <v>701</v>
      </c>
      <c r="AC497" s="12" t="str">
        <f>IF(OR(NOT(ISBLANK(AF497)), NOT(ISBLANK(AG497)), NOT(ISBLANK(AQ497)), NOT(ISBLANK(AN497))), "x", "")</f>
        <v/>
      </c>
      <c r="AD497" s="12" t="s">
        <v>701</v>
      </c>
      <c r="AE497" s="12"/>
      <c r="AF497" s="12"/>
      <c r="AG497" s="12"/>
      <c r="AH497" s="12"/>
      <c r="AI497" s="12"/>
      <c r="AJ497" s="12"/>
      <c r="AK497" s="12"/>
      <c r="AL497" s="12"/>
      <c r="AM497" s="12" t="s">
        <v>701</v>
      </c>
      <c r="AN497" s="12"/>
      <c r="AO497" s="12"/>
      <c r="AP497" s="12"/>
      <c r="AQ497" s="12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</row>
    <row r="498" spans="1:64" ht="13.5">
      <c r="A498" s="11" t="s">
        <v>516</v>
      </c>
      <c r="B498" s="12" t="s">
        <v>598</v>
      </c>
      <c r="C498" s="12"/>
      <c r="D498" s="12" t="s">
        <v>701</v>
      </c>
      <c r="E498" s="12"/>
      <c r="F498" s="12"/>
      <c r="G498" s="12"/>
      <c r="H498" s="12" t="s">
        <v>701</v>
      </c>
      <c r="I498" s="12" t="s">
        <v>701</v>
      </c>
      <c r="J498" s="12"/>
      <c r="K498" s="12"/>
      <c r="L498" s="12"/>
      <c r="M498" s="12"/>
      <c r="N498" s="12"/>
      <c r="O498" s="12" t="s">
        <v>701</v>
      </c>
      <c r="P498" s="12"/>
      <c r="Q498" s="12"/>
      <c r="R498" s="12"/>
      <c r="S498" s="12"/>
      <c r="T498" s="12"/>
      <c r="U498" s="12"/>
      <c r="V498" s="12"/>
      <c r="W498" s="12"/>
      <c r="X498" s="12" t="s">
        <v>701</v>
      </c>
      <c r="Y498" s="12" t="s">
        <v>701</v>
      </c>
      <c r="Z498" s="12" t="s">
        <v>701</v>
      </c>
      <c r="AA498" s="12" t="s">
        <v>701</v>
      </c>
      <c r="AB498" s="12"/>
      <c r="AC498" s="12" t="str">
        <f>IF(OR(NOT(ISBLANK(AF498)), NOT(ISBLANK(AG498)), NOT(ISBLANK(AQ498)), NOT(ISBLANK(AN498))), "x", "")</f>
        <v>x</v>
      </c>
      <c r="AD498" s="12" t="s">
        <v>701</v>
      </c>
      <c r="AE498" s="12"/>
      <c r="AF498" s="12"/>
      <c r="AG498" s="12" t="s">
        <v>701</v>
      </c>
      <c r="AH498" s="12"/>
      <c r="AI498" s="12"/>
      <c r="AJ498" s="12"/>
      <c r="AK498" s="12"/>
      <c r="AL498" s="12"/>
      <c r="AM498" s="12" t="s">
        <v>701</v>
      </c>
      <c r="AN498" s="12"/>
      <c r="AO498" s="12" t="s">
        <v>701</v>
      </c>
      <c r="AP498" s="12"/>
      <c r="AQ498" s="12"/>
    </row>
    <row r="499" spans="1:64" ht="13.5">
      <c r="A499" s="11" t="s">
        <v>517</v>
      </c>
      <c r="B499" s="12" t="s">
        <v>587</v>
      </c>
      <c r="C499" s="12" t="s">
        <v>701</v>
      </c>
      <c r="D499" s="12" t="s">
        <v>701</v>
      </c>
      <c r="E499" s="12"/>
      <c r="F499" s="12" t="s">
        <v>701</v>
      </c>
      <c r="G499" s="12" t="s">
        <v>701</v>
      </c>
      <c r="H499" s="12"/>
      <c r="I499" s="12"/>
      <c r="J499" s="12"/>
      <c r="K499" s="12"/>
      <c r="L499" s="12"/>
      <c r="M499" s="12" t="s">
        <v>701</v>
      </c>
      <c r="N499" s="12"/>
      <c r="O499" s="12" t="s">
        <v>701</v>
      </c>
      <c r="P499" s="12"/>
      <c r="Q499" s="12"/>
      <c r="R499" s="12"/>
      <c r="S499" s="12" t="s">
        <v>701</v>
      </c>
      <c r="T499" s="12"/>
      <c r="U499" s="12"/>
      <c r="V499" s="12" t="s">
        <v>701</v>
      </c>
      <c r="W499" s="12" t="s">
        <v>701</v>
      </c>
      <c r="X499" s="12"/>
      <c r="Y499" s="12"/>
      <c r="Z499" s="12"/>
      <c r="AA499" s="12"/>
      <c r="AB499" s="12"/>
      <c r="AC499" s="12" t="str">
        <f>IF(OR(NOT(ISBLANK(AF499)), NOT(ISBLANK(AG499)), NOT(ISBLANK(AQ499)), NOT(ISBLANK(AN499))), "x", "")</f>
        <v/>
      </c>
      <c r="AD499" s="12"/>
      <c r="AE499" s="12" t="s">
        <v>701</v>
      </c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</row>
    <row r="500" spans="1:64" ht="13.5">
      <c r="A500" s="11" t="s">
        <v>518</v>
      </c>
      <c r="B500" s="12" t="s">
        <v>595</v>
      </c>
      <c r="C500" s="12"/>
      <c r="D500" s="12" t="s">
        <v>701</v>
      </c>
      <c r="E500" s="12"/>
      <c r="F500" s="12" t="s">
        <v>701</v>
      </c>
      <c r="G500" s="12" t="s">
        <v>701</v>
      </c>
      <c r="H500" s="12"/>
      <c r="I500" s="12"/>
      <c r="J500" s="12"/>
      <c r="K500" s="12"/>
      <c r="L500" s="12"/>
      <c r="M500" s="12" t="s">
        <v>701</v>
      </c>
      <c r="N500" s="12"/>
      <c r="O500" s="12"/>
      <c r="P500" s="12"/>
      <c r="Q500" s="12" t="s">
        <v>701</v>
      </c>
      <c r="R500" s="12"/>
      <c r="S500" s="12"/>
      <c r="T500" s="12"/>
      <c r="U500" s="12"/>
      <c r="V500" s="12" t="s">
        <v>701</v>
      </c>
      <c r="W500" s="12"/>
      <c r="X500" s="12"/>
      <c r="Y500" s="12"/>
      <c r="Z500" s="12"/>
      <c r="AA500" s="12"/>
      <c r="AB500" s="12"/>
      <c r="AC500" s="12" t="str" cm="1">
        <f t="array" ref="AC500">IF(OR(NOT(ISBLANK(AG5xx)), NOT(ISBLANK(AH5xx)), NOT(ISBLANK(AR5xx)), NOT(ISBLANK(AO5xx))), "x", "")</f>
        <v>x</v>
      </c>
      <c r="AD500" s="12" t="s">
        <v>701</v>
      </c>
      <c r="AE500" s="12" t="s">
        <v>701</v>
      </c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 t="s">
        <v>701</v>
      </c>
      <c r="AQ500" s="12" t="s">
        <v>701</v>
      </c>
    </row>
    <row r="501" spans="1:64" ht="13.5">
      <c r="A501" s="11" t="s">
        <v>519</v>
      </c>
      <c r="B501" s="12" t="s">
        <v>587</v>
      </c>
      <c r="C501" s="12" t="s">
        <v>701</v>
      </c>
      <c r="D501" s="12" t="s">
        <v>701</v>
      </c>
      <c r="E501" s="12"/>
      <c r="F501" s="12" t="s">
        <v>701</v>
      </c>
      <c r="G501" s="12" t="s">
        <v>701</v>
      </c>
      <c r="H501" s="12"/>
      <c r="I501" s="12" t="s">
        <v>701</v>
      </c>
      <c r="J501" s="12"/>
      <c r="K501" s="12"/>
      <c r="L501" s="12"/>
      <c r="M501" s="12" t="s">
        <v>701</v>
      </c>
      <c r="N501" s="12"/>
      <c r="O501" s="12" t="s">
        <v>701</v>
      </c>
      <c r="P501" s="12"/>
      <c r="Q501" s="12"/>
      <c r="R501" s="12"/>
      <c r="S501" s="12"/>
      <c r="T501" s="12"/>
      <c r="U501" s="12"/>
      <c r="V501" s="12" t="s">
        <v>701</v>
      </c>
      <c r="W501" s="12"/>
      <c r="X501" s="12" t="s">
        <v>701</v>
      </c>
      <c r="Y501" s="12"/>
      <c r="Z501" s="12" t="s">
        <v>701</v>
      </c>
      <c r="AA501" s="12" t="s">
        <v>701</v>
      </c>
      <c r="AB501" s="12"/>
      <c r="AC501" s="12" t="str" cm="1">
        <f t="array" ref="AC501">IF(OR(NOT(ISBLANK(AG5x1)), NOT(ISBLANK(AH5x1)), NOT(ISBLANK(AR5x1)), NOT(ISBLANK(AO5x1))), "x", "")</f>
        <v>x</v>
      </c>
      <c r="AD501" s="12"/>
      <c r="AE501" s="12"/>
      <c r="AF501" s="12" t="s">
        <v>701</v>
      </c>
      <c r="AG501" s="12" t="s">
        <v>701</v>
      </c>
      <c r="AH501" s="12" t="s">
        <v>701</v>
      </c>
      <c r="AI501" s="12"/>
      <c r="AJ501" s="12"/>
      <c r="AK501" s="12"/>
      <c r="AL501" s="12"/>
      <c r="AM501" s="12" t="s">
        <v>701</v>
      </c>
      <c r="AN501" s="12"/>
      <c r="AO501" s="12"/>
      <c r="AP501" s="12" t="s">
        <v>701</v>
      </c>
      <c r="AQ501" s="12" t="s">
        <v>701</v>
      </c>
    </row>
    <row r="502" spans="1:64" ht="13.5">
      <c r="A502" s="11" t="s">
        <v>520</v>
      </c>
      <c r="B502" s="12" t="s">
        <v>589</v>
      </c>
      <c r="C502" s="12" t="s">
        <v>701</v>
      </c>
      <c r="D502" s="12" t="s">
        <v>701</v>
      </c>
      <c r="E502" s="12"/>
      <c r="F502" s="12" t="s">
        <v>701</v>
      </c>
      <c r="G502" s="12" t="s">
        <v>701</v>
      </c>
      <c r="H502" s="12"/>
      <c r="I502" s="12" t="s">
        <v>701</v>
      </c>
      <c r="J502" s="12" t="s">
        <v>701</v>
      </c>
      <c r="K502" s="12"/>
      <c r="L502" s="12"/>
      <c r="M502" s="12"/>
      <c r="N502" s="12"/>
      <c r="O502" s="12" t="s">
        <v>701</v>
      </c>
      <c r="P502" s="12"/>
      <c r="Q502" s="12" t="s">
        <v>701</v>
      </c>
      <c r="R502" s="12"/>
      <c r="S502" s="12" t="s">
        <v>701</v>
      </c>
      <c r="T502" s="12"/>
      <c r="U502" s="12"/>
      <c r="V502" s="12"/>
      <c r="W502" s="12" t="s">
        <v>701</v>
      </c>
      <c r="X502" s="12" t="s">
        <v>701</v>
      </c>
      <c r="Y502" s="12" t="s">
        <v>701</v>
      </c>
      <c r="Z502" s="12" t="s">
        <v>701</v>
      </c>
      <c r="AA502" s="12" t="s">
        <v>701</v>
      </c>
      <c r="AB502" s="12"/>
      <c r="AC502" s="12" t="str" cm="1">
        <f t="array" ref="AC502">IF(OR(NOT(ISBLANK(AG5x2)), NOT(ISBLANK(AH5x2)), NOT(ISBLANK(AR5x2)), NOT(ISBLANK(AO5x2))), "x", "")</f>
        <v>x</v>
      </c>
      <c r="AD502" s="12" t="s">
        <v>701</v>
      </c>
      <c r="AE502" s="12"/>
      <c r="AF502" s="12"/>
      <c r="AG502" s="12" t="s">
        <v>701</v>
      </c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</row>
    <row r="503" spans="1:64" ht="13.5">
      <c r="A503" s="11" t="s">
        <v>521</v>
      </c>
      <c r="B503" s="12" t="s">
        <v>589</v>
      </c>
      <c r="C503" s="12" t="s">
        <v>701</v>
      </c>
      <c r="D503" s="12" t="s">
        <v>701</v>
      </c>
      <c r="E503" s="12"/>
      <c r="F503" s="12"/>
      <c r="G503" s="12" t="s">
        <v>701</v>
      </c>
      <c r="H503" s="12" t="s">
        <v>701</v>
      </c>
      <c r="I503" s="12"/>
      <c r="J503" s="12"/>
      <c r="K503" s="12"/>
      <c r="L503" s="12"/>
      <c r="M503" s="12"/>
      <c r="N503" s="12"/>
      <c r="O503" s="12" t="s">
        <v>701</v>
      </c>
      <c r="P503" s="12"/>
      <c r="Q503" s="12"/>
      <c r="R503" s="12"/>
      <c r="S503" s="12"/>
      <c r="T503" s="12"/>
      <c r="U503" s="12"/>
      <c r="V503" s="12" t="s">
        <v>701</v>
      </c>
      <c r="W503" s="12" t="s">
        <v>701</v>
      </c>
      <c r="X503" s="12" t="s">
        <v>701</v>
      </c>
      <c r="Y503" s="12" t="s">
        <v>701</v>
      </c>
      <c r="Z503" s="12" t="s">
        <v>701</v>
      </c>
      <c r="AA503" s="12" t="s">
        <v>701</v>
      </c>
      <c r="AB503" s="12"/>
      <c r="AC503" s="12" t="str" cm="1">
        <f t="array" ref="AC503">IF(OR(NOT(ISBLANK(AG5x3)), NOT(ISBLANK(AH5x3)), NOT(ISBLANK(AR5x3)), NOT(ISBLANK(AO5x3))), "x", "")</f>
        <v>x</v>
      </c>
      <c r="AD503" s="12" t="s">
        <v>701</v>
      </c>
      <c r="AE503" s="12"/>
      <c r="AF503" s="12" t="s">
        <v>701</v>
      </c>
      <c r="AG503" s="12" t="s">
        <v>701</v>
      </c>
      <c r="AH503" s="12" t="s">
        <v>701</v>
      </c>
      <c r="AI503" s="12"/>
      <c r="AJ503" s="12"/>
      <c r="AK503" s="12"/>
      <c r="AL503" s="12"/>
      <c r="AM503" s="12"/>
      <c r="AN503" s="12"/>
      <c r="AO503" s="12"/>
      <c r="AP503" s="12"/>
      <c r="AQ503" s="12"/>
    </row>
    <row r="504" spans="1:64" ht="13.5">
      <c r="A504" s="11" t="s">
        <v>522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 t="str" cm="1">
        <f t="array" ref="AC504">IF(OR(NOT(ISBLANK(AG5x4)), NOT(ISBLANK(AH5x4)), NOT(ISBLANK(AR5x4)), NOT(ISBLANK(AO5x4))), "x", "")</f>
        <v>x</v>
      </c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</row>
    <row r="505" spans="1:64">
      <c r="A505" s="11" t="s">
        <v>523</v>
      </c>
      <c r="B505" s="12" t="s">
        <v>587</v>
      </c>
      <c r="C505" s="12"/>
      <c r="D505" s="12" t="s">
        <v>701</v>
      </c>
      <c r="E505" s="12"/>
      <c r="F505" s="12" t="s">
        <v>701</v>
      </c>
      <c r="G505" s="12" t="s">
        <v>701</v>
      </c>
      <c r="H505" s="12" t="s">
        <v>701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 t="s">
        <v>701</v>
      </c>
      <c r="T505" s="12"/>
      <c r="U505" s="12"/>
      <c r="V505" s="12"/>
      <c r="W505" s="12" t="s">
        <v>701</v>
      </c>
      <c r="X505" s="12"/>
      <c r="Y505" s="12"/>
      <c r="Z505" s="12"/>
      <c r="AA505" s="12"/>
      <c r="AB505" s="12"/>
      <c r="AC505" s="12" t="str" cm="1">
        <f t="array" ref="AC505">IF(OR(NOT(ISBLANK(AG5x5)), NOT(ISBLANK(AH5x5)), NOT(ISBLANK(AR5x5)), NOT(ISBLANK(AO5x5))), "x", "")</f>
        <v>x</v>
      </c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</row>
    <row r="506" spans="1:64">
      <c r="A506" s="11" t="s">
        <v>524</v>
      </c>
      <c r="B506" s="12" t="s">
        <v>588</v>
      </c>
      <c r="C506" s="12" t="s">
        <v>701</v>
      </c>
      <c r="D506" s="12" t="s">
        <v>701</v>
      </c>
      <c r="E506" s="12"/>
      <c r="F506" s="12"/>
      <c r="G506" s="12" t="s">
        <v>701</v>
      </c>
      <c r="H506" s="12"/>
      <c r="I506" s="12" t="s">
        <v>701</v>
      </c>
      <c r="J506" s="12"/>
      <c r="K506" s="12"/>
      <c r="L506" s="12"/>
      <c r="M506" s="12"/>
      <c r="N506" s="12"/>
      <c r="O506" s="12" t="s">
        <v>701</v>
      </c>
      <c r="P506" s="12"/>
      <c r="Q506" s="12"/>
      <c r="R506" s="12"/>
      <c r="S506" s="12"/>
      <c r="T506" s="12"/>
      <c r="U506" s="12"/>
      <c r="V506" s="12" t="s">
        <v>701</v>
      </c>
      <c r="W506" s="12" t="s">
        <v>701</v>
      </c>
      <c r="X506" s="12" t="s">
        <v>701</v>
      </c>
      <c r="Y506" s="12" t="s">
        <v>701</v>
      </c>
      <c r="Z506" s="12" t="s">
        <v>701</v>
      </c>
      <c r="AA506" s="12" t="s">
        <v>701</v>
      </c>
      <c r="AB506" s="12" t="s">
        <v>701</v>
      </c>
      <c r="AC506" s="12" t="str" cm="1">
        <f t="array" ref="AC506">IF(OR(NOT(ISBLANK(AG5x6)), NOT(ISBLANK(AH5x6)), NOT(ISBLANK(AR5x6)), NOT(ISBLANK(AO5x6))), "x", "")</f>
        <v>x</v>
      </c>
      <c r="AD506" s="12" t="s">
        <v>701</v>
      </c>
      <c r="AE506" s="12"/>
      <c r="AF506" s="12"/>
      <c r="AG506" s="12"/>
      <c r="AH506" s="12"/>
      <c r="AI506" s="12"/>
      <c r="AJ506" s="12"/>
      <c r="AK506" s="12"/>
      <c r="AL506" s="12"/>
      <c r="AM506" s="12" t="s">
        <v>701</v>
      </c>
      <c r="AN506" s="12"/>
      <c r="AO506" s="12"/>
      <c r="AP506" s="12"/>
      <c r="AQ506" s="12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</row>
    <row r="507" spans="1:64" ht="13.5">
      <c r="A507" s="11" t="s">
        <v>525</v>
      </c>
      <c r="B507" s="12" t="s">
        <v>589</v>
      </c>
      <c r="C507" s="12" t="s">
        <v>701</v>
      </c>
      <c r="D507" s="12"/>
      <c r="E507" s="12"/>
      <c r="F507" s="12"/>
      <c r="G507" s="12" t="s">
        <v>701</v>
      </c>
      <c r="H507" s="12" t="s">
        <v>701</v>
      </c>
      <c r="I507" s="12" t="s">
        <v>701</v>
      </c>
      <c r="J507" s="12" t="s">
        <v>701</v>
      </c>
      <c r="K507" s="12"/>
      <c r="L507" s="12"/>
      <c r="M507" s="12" t="s">
        <v>701</v>
      </c>
      <c r="N507" s="12"/>
      <c r="O507" s="12" t="s">
        <v>701</v>
      </c>
      <c r="P507" s="12"/>
      <c r="Q507" s="12" t="s">
        <v>701</v>
      </c>
      <c r="R507" s="12"/>
      <c r="S507" s="12"/>
      <c r="T507" s="12"/>
      <c r="U507" s="12"/>
      <c r="V507" s="12"/>
      <c r="W507" s="12" t="s">
        <v>701</v>
      </c>
      <c r="X507" s="12" t="s">
        <v>701</v>
      </c>
      <c r="Y507" s="12" t="s">
        <v>701</v>
      </c>
      <c r="Z507" s="12"/>
      <c r="AA507" s="12" t="s">
        <v>701</v>
      </c>
      <c r="AB507" s="12"/>
      <c r="AC507" s="12" t="str" cm="1">
        <f t="array" ref="AC507">IF(OR(NOT(ISBLANK(AG5x7)), NOT(ISBLANK(AH5x7)), NOT(ISBLANK(AR5x7)), NOT(ISBLANK(AO5x7))), "x", "")</f>
        <v>x</v>
      </c>
      <c r="AD507" s="12"/>
      <c r="AE507" s="12"/>
      <c r="AF507" s="12"/>
      <c r="AG507" s="12" t="s">
        <v>701</v>
      </c>
      <c r="AH507" s="12" t="s">
        <v>701</v>
      </c>
      <c r="AI507" s="12"/>
      <c r="AJ507" s="12"/>
      <c r="AK507" s="12"/>
      <c r="AL507" s="12"/>
      <c r="AM507" s="12" t="s">
        <v>701</v>
      </c>
      <c r="AN507" s="12"/>
      <c r="AO507" s="12" t="s">
        <v>701</v>
      </c>
      <c r="AP507" s="12"/>
      <c r="AQ507" s="12"/>
    </row>
    <row r="508" spans="1:64" ht="13.5">
      <c r="A508" s="11" t="s">
        <v>526</v>
      </c>
      <c r="B508" s="12" t="s">
        <v>593</v>
      </c>
      <c r="C508" s="12"/>
      <c r="D508" s="12" t="s">
        <v>701</v>
      </c>
      <c r="E508" s="12"/>
      <c r="F508" s="12"/>
      <c r="G508" s="12"/>
      <c r="H508" s="12" t="s">
        <v>701</v>
      </c>
      <c r="I508" s="12" t="s">
        <v>701</v>
      </c>
      <c r="J508" s="12" t="s">
        <v>701</v>
      </c>
      <c r="K508" s="12"/>
      <c r="L508" s="12"/>
      <c r="M508" s="12"/>
      <c r="N508" s="12"/>
      <c r="O508" s="12" t="s">
        <v>701</v>
      </c>
      <c r="P508" s="12"/>
      <c r="Q508" s="12"/>
      <c r="R508" s="12"/>
      <c r="S508" s="12" t="s">
        <v>701</v>
      </c>
      <c r="T508" s="12"/>
      <c r="U508" s="12"/>
      <c r="V508" s="12" t="s">
        <v>701</v>
      </c>
      <c r="W508" s="12"/>
      <c r="X508" s="12" t="s">
        <v>701</v>
      </c>
      <c r="Y508" s="12" t="s">
        <v>701</v>
      </c>
      <c r="Z508" s="12" t="s">
        <v>701</v>
      </c>
      <c r="AA508" s="12" t="s">
        <v>701</v>
      </c>
      <c r="AB508" s="12" t="s">
        <v>701</v>
      </c>
      <c r="AC508" s="12" t="str" cm="1">
        <f t="array" ref="AC508">IF(OR(NOT(ISBLANK(AG5x8)), NOT(ISBLANK(AH5x8)), NOT(ISBLANK(AR5x8)), NOT(ISBLANK(AO5x8))), "x", "")</f>
        <v>x</v>
      </c>
      <c r="AD508" s="12" t="s">
        <v>701</v>
      </c>
      <c r="AE508" s="12"/>
      <c r="AF508" s="12"/>
      <c r="AG508" s="12" t="s">
        <v>701</v>
      </c>
      <c r="AH508" s="12"/>
      <c r="AI508" s="12"/>
      <c r="AJ508" s="12"/>
      <c r="AK508" s="12"/>
      <c r="AL508" s="12"/>
      <c r="AM508" s="12" t="s">
        <v>701</v>
      </c>
      <c r="AN508" s="12"/>
      <c r="AO508" s="12" t="s">
        <v>701</v>
      </c>
      <c r="AP508" s="12" t="s">
        <v>701</v>
      </c>
      <c r="AQ508" s="12"/>
    </row>
    <row r="509" spans="1:64" ht="13.5">
      <c r="A509" s="11" t="s">
        <v>527</v>
      </c>
      <c r="B509" s="12" t="s">
        <v>593</v>
      </c>
      <c r="C509" s="12"/>
      <c r="D509" s="12" t="s">
        <v>701</v>
      </c>
      <c r="E509" s="12"/>
      <c r="F509" s="12"/>
      <c r="G509" s="12"/>
      <c r="H509" s="12" t="s">
        <v>701</v>
      </c>
      <c r="I509" s="12" t="s">
        <v>701</v>
      </c>
      <c r="J509" s="12" t="s">
        <v>701</v>
      </c>
      <c r="K509" s="12"/>
      <c r="L509" s="12"/>
      <c r="M509" s="12"/>
      <c r="N509" s="12"/>
      <c r="O509" s="12" t="s">
        <v>701</v>
      </c>
      <c r="P509" s="12"/>
      <c r="Q509" s="12"/>
      <c r="R509" s="12"/>
      <c r="S509" s="12" t="s">
        <v>701</v>
      </c>
      <c r="T509" s="12"/>
      <c r="U509" s="12"/>
      <c r="V509" s="12" t="s">
        <v>701</v>
      </c>
      <c r="W509" s="12"/>
      <c r="X509" s="12" t="s">
        <v>701</v>
      </c>
      <c r="Y509" s="12" t="s">
        <v>701</v>
      </c>
      <c r="Z509" s="12" t="s">
        <v>701</v>
      </c>
      <c r="AA509" s="12" t="s">
        <v>701</v>
      </c>
      <c r="AB509" s="12" t="s">
        <v>701</v>
      </c>
      <c r="AC509" s="12" t="str" cm="1">
        <f t="array" ref="AC509">IF(OR(NOT(ISBLANK(AG5x9)), NOT(ISBLANK(AH5x9)), NOT(ISBLANK(AR5x9)), NOT(ISBLANK(AO5x9))), "x", "")</f>
        <v>x</v>
      </c>
      <c r="AD509" s="12" t="s">
        <v>701</v>
      </c>
      <c r="AE509" s="12"/>
      <c r="AF509" s="12"/>
      <c r="AG509" s="12" t="s">
        <v>701</v>
      </c>
      <c r="AH509" s="12"/>
      <c r="AI509" s="12"/>
      <c r="AJ509" s="12"/>
      <c r="AK509" s="12"/>
      <c r="AL509" s="12"/>
      <c r="AM509" s="12" t="s">
        <v>701</v>
      </c>
      <c r="AN509" s="12"/>
      <c r="AO509" s="12" t="s">
        <v>701</v>
      </c>
      <c r="AP509" s="12" t="s">
        <v>701</v>
      </c>
      <c r="AQ509" s="12"/>
    </row>
    <row r="510" spans="1:64" ht="13.5">
      <c r="A510" s="11" t="s">
        <v>528</v>
      </c>
      <c r="B510" s="12" t="s">
        <v>592</v>
      </c>
      <c r="C510" s="12"/>
      <c r="D510" s="12"/>
      <c r="E510" s="12"/>
      <c r="F510" s="12" t="s">
        <v>701</v>
      </c>
      <c r="G510" s="12" t="s">
        <v>701</v>
      </c>
      <c r="H510" s="12" t="s">
        <v>701</v>
      </c>
      <c r="I510" s="12"/>
      <c r="J510" s="12"/>
      <c r="K510" s="12"/>
      <c r="L510" s="12"/>
      <c r="M510" s="12" t="s">
        <v>701</v>
      </c>
      <c r="N510" s="12"/>
      <c r="O510" s="12"/>
      <c r="P510" s="12"/>
      <c r="Q510" s="12"/>
      <c r="R510" s="12"/>
      <c r="S510" s="12"/>
      <c r="T510" s="12"/>
      <c r="U510" s="12"/>
      <c r="V510" s="12" t="s">
        <v>701</v>
      </c>
      <c r="W510" s="12"/>
      <c r="X510" s="12"/>
      <c r="Y510" s="12"/>
      <c r="Z510" s="12"/>
      <c r="AA510" s="12"/>
      <c r="AB510" s="12"/>
      <c r="AC510" s="12" t="str" cm="1">
        <f t="array" ref="AC510">IF(OR(NOT(ISBLANK(AG51x)), NOT(ISBLANK(AH51x)), NOT(ISBLANK(AR51x)), NOT(ISBLANK(AO51x))), "x", "")</f>
        <v>x</v>
      </c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</row>
    <row r="511" spans="1:64" ht="13.5">
      <c r="A511" s="11" t="s">
        <v>529</v>
      </c>
      <c r="B511" s="12" t="s">
        <v>589</v>
      </c>
      <c r="C511" s="12" t="s">
        <v>701</v>
      </c>
      <c r="D511" s="12"/>
      <c r="E511" s="12"/>
      <c r="F511" s="12"/>
      <c r="G511" s="12" t="s">
        <v>701</v>
      </c>
      <c r="H511" s="12" t="s">
        <v>701</v>
      </c>
      <c r="I511" s="12" t="s">
        <v>701</v>
      </c>
      <c r="J511" s="12" t="s">
        <v>701</v>
      </c>
      <c r="K511" s="12"/>
      <c r="L511" s="12"/>
      <c r="M511" s="12" t="s">
        <v>701</v>
      </c>
      <c r="N511" s="12"/>
      <c r="O511" s="12" t="s">
        <v>701</v>
      </c>
      <c r="P511" s="12"/>
      <c r="Q511" s="12" t="s">
        <v>701</v>
      </c>
      <c r="R511" s="12"/>
      <c r="S511" s="12" t="s">
        <v>701</v>
      </c>
      <c r="T511" s="12"/>
      <c r="U511" s="12"/>
      <c r="V511" s="12"/>
      <c r="W511" s="12" t="s">
        <v>701</v>
      </c>
      <c r="X511" s="12" t="s">
        <v>701</v>
      </c>
      <c r="Y511" s="12" t="s">
        <v>701</v>
      </c>
      <c r="Z511" s="12"/>
      <c r="AA511" s="12"/>
      <c r="AB511" s="12"/>
      <c r="AC511" s="12" t="str">
        <f>IF(OR(NOT(ISBLANK(AF511)), NOT(ISBLANK(AG511)), NOT(ISBLANK(AQ511)), NOT(ISBLANK(AN511))), "x", "")</f>
        <v/>
      </c>
      <c r="AD511" s="12" t="s">
        <v>701</v>
      </c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</row>
    <row r="512" spans="1:64" ht="13.5">
      <c r="A512" s="11" t="s">
        <v>530</v>
      </c>
      <c r="B512" s="12" t="s">
        <v>589</v>
      </c>
      <c r="C512" s="12" t="s">
        <v>701</v>
      </c>
      <c r="D512" s="12"/>
      <c r="E512" s="12"/>
      <c r="F512" s="12"/>
      <c r="G512" s="12" t="s">
        <v>701</v>
      </c>
      <c r="H512" s="12" t="s">
        <v>701</v>
      </c>
      <c r="I512" s="12" t="s">
        <v>701</v>
      </c>
      <c r="J512" s="12" t="s">
        <v>701</v>
      </c>
      <c r="K512" s="12"/>
      <c r="L512" s="12"/>
      <c r="M512" s="12"/>
      <c r="N512" s="12"/>
      <c r="O512" s="12" t="s">
        <v>701</v>
      </c>
      <c r="P512" s="12"/>
      <c r="Q512" s="12" t="s">
        <v>701</v>
      </c>
      <c r="R512" s="12"/>
      <c r="S512" s="12" t="s">
        <v>701</v>
      </c>
      <c r="T512" s="12"/>
      <c r="U512" s="12"/>
      <c r="V512" s="12"/>
      <c r="W512" s="12" t="s">
        <v>701</v>
      </c>
      <c r="X512" s="12" t="s">
        <v>701</v>
      </c>
      <c r="Y512" s="12" t="s">
        <v>701</v>
      </c>
      <c r="Z512" s="12"/>
      <c r="AA512" s="12"/>
      <c r="AB512" s="12"/>
      <c r="AC512" s="12" t="str">
        <f>IF(OR(NOT(ISBLANK(AF512)), NOT(ISBLANK(AG512)), NOT(ISBLANK(AQ512)), NOT(ISBLANK(AN512))), "x", "")</f>
        <v/>
      </c>
      <c r="AD512" s="12" t="s">
        <v>701</v>
      </c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</row>
    <row r="513" spans="1:64" ht="13.5">
      <c r="A513" s="11" t="s">
        <v>531</v>
      </c>
      <c r="B513" s="12" t="s">
        <v>589</v>
      </c>
      <c r="C513" s="12" t="s">
        <v>701</v>
      </c>
      <c r="D513" s="12"/>
      <c r="E513" s="12"/>
      <c r="F513" s="12"/>
      <c r="G513" s="12" t="s">
        <v>701</v>
      </c>
      <c r="H513" s="12"/>
      <c r="I513" s="12" t="s">
        <v>701</v>
      </c>
      <c r="J513" s="12"/>
      <c r="K513" s="12"/>
      <c r="L513" s="12"/>
      <c r="M513" s="12"/>
      <c r="N513" s="12"/>
      <c r="O513" s="12" t="s">
        <v>701</v>
      </c>
      <c r="P513" s="12"/>
      <c r="Q513" s="12" t="s">
        <v>701</v>
      </c>
      <c r="R513" s="12"/>
      <c r="S513" s="12" t="s">
        <v>701</v>
      </c>
      <c r="T513" s="12"/>
      <c r="U513" s="12"/>
      <c r="V513" s="12" t="s">
        <v>701</v>
      </c>
      <c r="W513" s="12" t="s">
        <v>701</v>
      </c>
      <c r="X513" s="12" t="s">
        <v>701</v>
      </c>
      <c r="Y513" s="12"/>
      <c r="Z513" s="12"/>
      <c r="AA513" s="12" t="s">
        <v>701</v>
      </c>
      <c r="AB513" s="12"/>
      <c r="AC513" s="12" t="str">
        <f>IF(OR(NOT(ISBLANK(AF513)), NOT(ISBLANK(AG513)), NOT(ISBLANK(AQ513)), NOT(ISBLANK(AN513))), "x", "")</f>
        <v/>
      </c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</row>
    <row r="514" spans="1:64" ht="13.5">
      <c r="A514" s="11" t="s">
        <v>532</v>
      </c>
      <c r="B514" s="12" t="s">
        <v>593</v>
      </c>
      <c r="C514" s="12"/>
      <c r="D514" s="12" t="s">
        <v>701</v>
      </c>
      <c r="E514" s="12"/>
      <c r="F514" s="12"/>
      <c r="G514" s="12"/>
      <c r="H514" s="12" t="s">
        <v>701</v>
      </c>
      <c r="I514" s="12" t="s">
        <v>701</v>
      </c>
      <c r="J514" s="12" t="s">
        <v>701</v>
      </c>
      <c r="K514" s="12"/>
      <c r="L514" s="12"/>
      <c r="M514" s="12"/>
      <c r="N514" s="12"/>
      <c r="O514" s="12" t="s">
        <v>701</v>
      </c>
      <c r="P514" s="12"/>
      <c r="Q514" s="12"/>
      <c r="R514" s="12"/>
      <c r="S514" s="12" t="s">
        <v>701</v>
      </c>
      <c r="T514" s="12"/>
      <c r="U514" s="12"/>
      <c r="V514" s="12" t="s">
        <v>701</v>
      </c>
      <c r="W514" s="12"/>
      <c r="X514" s="12" t="s">
        <v>701</v>
      </c>
      <c r="Y514" s="12" t="s">
        <v>701</v>
      </c>
      <c r="Z514" s="12" t="s">
        <v>701</v>
      </c>
      <c r="AA514" s="12" t="s">
        <v>701</v>
      </c>
      <c r="AB514" s="12" t="s">
        <v>701</v>
      </c>
      <c r="AC514" s="12" t="str">
        <f>IF(OR(NOT(ISBLANK(AF514)), NOT(ISBLANK(AG514)), NOT(ISBLANK(AQ514)), NOT(ISBLANK(AN514))), "x", "")</f>
        <v/>
      </c>
      <c r="AD514" s="12" t="s">
        <v>701</v>
      </c>
      <c r="AE514" s="12"/>
      <c r="AF514" s="12"/>
      <c r="AG514" s="12"/>
      <c r="AH514" s="12"/>
      <c r="AI514" s="12"/>
      <c r="AJ514" s="12"/>
      <c r="AK514" s="12"/>
      <c r="AL514" s="12"/>
      <c r="AM514" s="12" t="s">
        <v>701</v>
      </c>
      <c r="AN514" s="12"/>
      <c r="AO514" s="12" t="s">
        <v>701</v>
      </c>
      <c r="AP514" s="12" t="s">
        <v>701</v>
      </c>
      <c r="AQ514" s="12"/>
    </row>
    <row r="515" spans="1:64" ht="13.5">
      <c r="A515" s="11" t="s">
        <v>533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 t="str">
        <f>IF(OR(NOT(ISBLANK(AF515)), NOT(ISBLANK(AG515)), NOT(ISBLANK(AQ515)), NOT(ISBLANK(AN515))), "x", "")</f>
        <v/>
      </c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</row>
    <row r="516" spans="1:64">
      <c r="A516" s="11" t="s">
        <v>534</v>
      </c>
      <c r="B516" s="12" t="s">
        <v>587</v>
      </c>
      <c r="C516" s="12"/>
      <c r="D516" s="12" t="s">
        <v>701</v>
      </c>
      <c r="E516" s="12"/>
      <c r="F516" s="12" t="s">
        <v>701</v>
      </c>
      <c r="G516" s="12" t="s">
        <v>701</v>
      </c>
      <c r="H516" s="12" t="s">
        <v>701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 t="s">
        <v>701</v>
      </c>
      <c r="T516" s="12"/>
      <c r="U516" s="12"/>
      <c r="V516" s="12"/>
      <c r="W516" s="12" t="s">
        <v>701</v>
      </c>
      <c r="X516" s="12"/>
      <c r="Y516" s="12"/>
      <c r="Z516" s="12"/>
      <c r="AA516" s="12"/>
      <c r="AB516" s="12"/>
      <c r="AC516" s="12" t="str">
        <f>IF(OR(NOT(ISBLANK(AF516)), NOT(ISBLANK(AG516)), NOT(ISBLANK(AQ516)), NOT(ISBLANK(AN516))), "x", "")</f>
        <v/>
      </c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</row>
    <row r="517" spans="1:64">
      <c r="A517" s="11" t="s">
        <v>535</v>
      </c>
      <c r="B517" s="12" t="s">
        <v>588</v>
      </c>
      <c r="C517" s="12" t="s">
        <v>701</v>
      </c>
      <c r="D517" s="12" t="s">
        <v>701</v>
      </c>
      <c r="E517" s="12"/>
      <c r="F517" s="12"/>
      <c r="G517" s="12" t="s">
        <v>701</v>
      </c>
      <c r="H517" s="12"/>
      <c r="I517" s="12" t="s">
        <v>701</v>
      </c>
      <c r="J517" s="12"/>
      <c r="K517" s="12"/>
      <c r="L517" s="12"/>
      <c r="M517" s="12"/>
      <c r="N517" s="12"/>
      <c r="O517" s="12" t="s">
        <v>701</v>
      </c>
      <c r="P517" s="12"/>
      <c r="Q517" s="12"/>
      <c r="R517" s="12"/>
      <c r="S517" s="12"/>
      <c r="T517" s="12"/>
      <c r="U517" s="12"/>
      <c r="V517" s="12" t="s">
        <v>701</v>
      </c>
      <c r="W517" s="12" t="s">
        <v>701</v>
      </c>
      <c r="X517" s="12" t="s">
        <v>701</v>
      </c>
      <c r="Y517" s="12" t="s">
        <v>701</v>
      </c>
      <c r="Z517" s="12" t="s">
        <v>701</v>
      </c>
      <c r="AA517" s="12" t="s">
        <v>701</v>
      </c>
      <c r="AB517" s="12" t="s">
        <v>701</v>
      </c>
      <c r="AC517" s="12" t="str">
        <f>IF(OR(NOT(ISBLANK(AF517)), NOT(ISBLANK(AG517)), NOT(ISBLANK(AQ517)), NOT(ISBLANK(AN517))), "x", "")</f>
        <v/>
      </c>
      <c r="AD517" s="12" t="s">
        <v>701</v>
      </c>
      <c r="AE517" s="12"/>
      <c r="AF517" s="12"/>
      <c r="AG517" s="12"/>
      <c r="AH517" s="12"/>
      <c r="AI517" s="12"/>
      <c r="AJ517" s="12"/>
      <c r="AK517" s="12"/>
      <c r="AL517" s="12"/>
      <c r="AM517" s="12" t="s">
        <v>701</v>
      </c>
      <c r="AN517" s="12"/>
      <c r="AO517" s="12"/>
      <c r="AP517" s="12"/>
      <c r="AQ517" s="12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</row>
    <row r="518" spans="1:64" ht="13.5">
      <c r="A518" s="11" t="s">
        <v>536</v>
      </c>
      <c r="B518" s="12" t="s">
        <v>598</v>
      </c>
      <c r="C518" s="12"/>
      <c r="D518" s="12" t="s">
        <v>701</v>
      </c>
      <c r="E518" s="12"/>
      <c r="F518" s="12" t="s">
        <v>701</v>
      </c>
      <c r="G518" s="12" t="s">
        <v>701</v>
      </c>
      <c r="H518" s="12" t="s">
        <v>701</v>
      </c>
      <c r="I518" s="12" t="s">
        <v>701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 t="s">
        <v>701</v>
      </c>
      <c r="T518" s="12"/>
      <c r="U518" s="12"/>
      <c r="V518" s="12"/>
      <c r="W518" s="12" t="s">
        <v>701</v>
      </c>
      <c r="X518" s="12"/>
      <c r="Y518" s="12"/>
      <c r="Z518" s="12" t="s">
        <v>701</v>
      </c>
      <c r="AA518" s="12" t="s">
        <v>701</v>
      </c>
      <c r="AB518" s="12"/>
      <c r="AC518" s="12" t="str">
        <f>IF(OR(NOT(ISBLANK(AF518)), NOT(ISBLANK(AG518)), NOT(ISBLANK(AQ518)), NOT(ISBLANK(AN518))), "x", "")</f>
        <v>x</v>
      </c>
      <c r="AD518" s="12"/>
      <c r="AE518" s="12"/>
      <c r="AF518" s="12"/>
      <c r="AG518" s="12" t="s">
        <v>701</v>
      </c>
      <c r="AH518" s="12"/>
      <c r="AI518" s="12"/>
      <c r="AJ518" s="12"/>
      <c r="AK518" s="12"/>
      <c r="AL518" s="12"/>
      <c r="AM518" s="12" t="s">
        <v>701</v>
      </c>
      <c r="AN518" s="12"/>
      <c r="AO518" s="12" t="s">
        <v>701</v>
      </c>
      <c r="AP518" s="12"/>
      <c r="AQ518" s="12"/>
    </row>
    <row r="519" spans="1:64" ht="13.5">
      <c r="A519" s="11" t="s">
        <v>537</v>
      </c>
      <c r="B519" s="12" t="s">
        <v>598</v>
      </c>
      <c r="C519" s="12"/>
      <c r="D519" s="12" t="s">
        <v>701</v>
      </c>
      <c r="E519" s="12"/>
      <c r="F519" s="12"/>
      <c r="G519" s="12"/>
      <c r="H519" s="12" t="s">
        <v>701</v>
      </c>
      <c r="I519" s="12" t="s">
        <v>701</v>
      </c>
      <c r="J519" s="12" t="s">
        <v>701</v>
      </c>
      <c r="K519" s="12"/>
      <c r="L519" s="12"/>
      <c r="M519" s="12"/>
      <c r="N519" s="12"/>
      <c r="O519" s="12"/>
      <c r="P519" s="12"/>
      <c r="Q519" s="12"/>
      <c r="R519" s="12"/>
      <c r="S519" s="12" t="s">
        <v>701</v>
      </c>
      <c r="T519" s="12"/>
      <c r="U519" s="12"/>
      <c r="V519" s="12"/>
      <c r="W519" s="12"/>
      <c r="X519" s="12" t="s">
        <v>701</v>
      </c>
      <c r="Y519" s="12" t="s">
        <v>701</v>
      </c>
      <c r="Z519" s="12" t="s">
        <v>701</v>
      </c>
      <c r="AA519" s="12"/>
      <c r="AB519" s="12" t="s">
        <v>701</v>
      </c>
      <c r="AC519" s="12" t="str">
        <f>IF(OR(NOT(ISBLANK(AF519)), NOT(ISBLANK(AG519)), NOT(ISBLANK(AQ519)), NOT(ISBLANK(AN519))), "x", "")</f>
        <v>x</v>
      </c>
      <c r="AD519" s="12" t="s">
        <v>701</v>
      </c>
      <c r="AE519" s="12"/>
      <c r="AF519" s="12"/>
      <c r="AG519" s="12" t="s">
        <v>701</v>
      </c>
      <c r="AH519" s="12"/>
      <c r="AI519" s="12"/>
      <c r="AJ519" s="12"/>
      <c r="AK519" s="12"/>
      <c r="AL519" s="12"/>
      <c r="AM519" s="12" t="s">
        <v>701</v>
      </c>
      <c r="AN519" s="12"/>
      <c r="AO519" s="12" t="s">
        <v>701</v>
      </c>
      <c r="AP519" s="12"/>
      <c r="AQ519" s="12"/>
    </row>
    <row r="520" spans="1:64" ht="13.5">
      <c r="A520" s="11" t="s">
        <v>538</v>
      </c>
      <c r="B520" s="12" t="s">
        <v>592</v>
      </c>
      <c r="C520" s="12" t="s">
        <v>701</v>
      </c>
      <c r="D520" s="12"/>
      <c r="E520" s="12"/>
      <c r="F520" s="12"/>
      <c r="G520" s="12"/>
      <c r="H520" s="12" t="s">
        <v>701</v>
      </c>
      <c r="I520" s="12"/>
      <c r="J520" s="12" t="s">
        <v>701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 t="s">
        <v>701</v>
      </c>
      <c r="X520" s="12" t="s">
        <v>701</v>
      </c>
      <c r="Y520" s="12" t="s">
        <v>701</v>
      </c>
      <c r="Z520" s="12"/>
      <c r="AA520" s="12" t="s">
        <v>701</v>
      </c>
      <c r="AB520" s="12"/>
      <c r="AC520" s="12" t="str" cm="1">
        <f t="array" ref="AC520">IF(OR(NOT(ISBLANK(AG52x)), NOT(ISBLANK(AH52x)), NOT(ISBLANK(AR52x)), NOT(ISBLANK(AO52x))), "x", "")</f>
        <v>x</v>
      </c>
      <c r="AD520" s="12" t="s">
        <v>701</v>
      </c>
      <c r="AE520" s="12"/>
      <c r="AF520" s="12" t="s">
        <v>701</v>
      </c>
      <c r="AG520" s="12"/>
      <c r="AH520" s="12" t="s">
        <v>701</v>
      </c>
      <c r="AI520" s="12"/>
      <c r="AJ520" s="12"/>
      <c r="AK520" s="12"/>
      <c r="AL520" s="12"/>
      <c r="AM520" s="12" t="s">
        <v>701</v>
      </c>
      <c r="AN520" s="12"/>
      <c r="AO520" s="12" t="s">
        <v>701</v>
      </c>
      <c r="AP520" s="12" t="s">
        <v>701</v>
      </c>
      <c r="AQ520" s="12" t="s">
        <v>701</v>
      </c>
    </row>
    <row r="521" spans="1:64" ht="13.5">
      <c r="A521" s="11" t="s">
        <v>539</v>
      </c>
      <c r="B521" s="12" t="s">
        <v>592</v>
      </c>
      <c r="C521" s="12" t="s">
        <v>701</v>
      </c>
      <c r="D521" s="12"/>
      <c r="E521" s="12"/>
      <c r="F521" s="12"/>
      <c r="G521" s="12"/>
      <c r="H521" s="12" t="s">
        <v>701</v>
      </c>
      <c r="I521" s="12"/>
      <c r="J521" s="12" t="s">
        <v>701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 t="s">
        <v>701</v>
      </c>
      <c r="W521" s="12" t="s">
        <v>701</v>
      </c>
      <c r="X521" s="12" t="s">
        <v>701</v>
      </c>
      <c r="Y521" s="12" t="s">
        <v>701</v>
      </c>
      <c r="Z521" s="12"/>
      <c r="AA521" s="12" t="s">
        <v>701</v>
      </c>
      <c r="AB521" s="12"/>
      <c r="AC521" s="12" t="str">
        <f>IF(OR(NOT(ISBLANK(AF521)), NOT(ISBLANK(AG521)), NOT(ISBLANK(AQ521)), NOT(ISBLANK(AN521))), "x", "")</f>
        <v>x</v>
      </c>
      <c r="AD521" s="12" t="s">
        <v>701</v>
      </c>
      <c r="AE521" s="12"/>
      <c r="AF521" s="12" t="s">
        <v>701</v>
      </c>
      <c r="AG521" s="12"/>
      <c r="AH521" s="12" t="s">
        <v>701</v>
      </c>
      <c r="AI521" s="12"/>
      <c r="AJ521" s="12"/>
      <c r="AK521" s="12"/>
      <c r="AL521" s="12"/>
      <c r="AM521" s="12" t="s">
        <v>701</v>
      </c>
      <c r="AN521" s="12"/>
      <c r="AO521" s="12" t="s">
        <v>701</v>
      </c>
      <c r="AP521" s="12" t="s">
        <v>701</v>
      </c>
      <c r="AQ521" s="12" t="s">
        <v>701</v>
      </c>
    </row>
    <row r="522" spans="1:64" ht="14.25" thickBot="1">
      <c r="A522" s="15" t="s">
        <v>540</v>
      </c>
      <c r="B522" s="12" t="s">
        <v>593</v>
      </c>
      <c r="C522" s="12"/>
      <c r="D522" s="12"/>
      <c r="E522" s="12"/>
      <c r="F522" s="12"/>
      <c r="G522" s="12"/>
      <c r="H522" s="12" t="s">
        <v>701</v>
      </c>
      <c r="I522" s="12"/>
      <c r="J522" s="12" t="s">
        <v>701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 t="s">
        <v>701</v>
      </c>
      <c r="W522" s="12"/>
      <c r="X522" s="12" t="s">
        <v>701</v>
      </c>
      <c r="Y522" s="12" t="s">
        <v>701</v>
      </c>
      <c r="Z522" s="12"/>
      <c r="AA522" s="12" t="s">
        <v>701</v>
      </c>
      <c r="AB522" s="12" t="s">
        <v>701</v>
      </c>
      <c r="AC522" s="12" t="str">
        <f>IF(OR(NOT(ISBLANK(AF522)), NOT(ISBLANK(AG522)), NOT(ISBLANK(AQ522)), NOT(ISBLANK(AN522))), "x", "")</f>
        <v>x</v>
      </c>
      <c r="AD522" s="12" t="s">
        <v>701</v>
      </c>
      <c r="AE522" s="12"/>
      <c r="AF522" s="12" t="s">
        <v>701</v>
      </c>
      <c r="AG522" s="12"/>
      <c r="AH522" s="12" t="s">
        <v>701</v>
      </c>
      <c r="AI522" s="12"/>
      <c r="AJ522" s="12"/>
      <c r="AK522" s="12"/>
      <c r="AL522" s="12"/>
      <c r="AM522" s="12" t="s">
        <v>701</v>
      </c>
      <c r="AN522" s="12"/>
      <c r="AO522" s="12" t="s">
        <v>701</v>
      </c>
      <c r="AP522" s="12" t="s">
        <v>701</v>
      </c>
      <c r="AQ522" s="12" t="s">
        <v>701</v>
      </c>
    </row>
    <row r="523" spans="1:64" ht="16.5" thickTop="1"/>
  </sheetData>
  <dataValidations count="1">
    <dataValidation type="list" allowBlank="1" showInputMessage="1" showErrorMessage="1" sqref="B3:B522" xr:uid="{45206C14-AC52-4BB1-AE61-B173C12082DE}">
      <formula1>$C$1:$AQ$1</formula1>
    </dataValidation>
  </dataValidations>
  <pageMargins left="0.7" right="0.7" top="0.75" bottom="0.75" header="0.3" footer="0.3"/>
  <pageSetup orientation="portrait" r:id="rId1"/>
  <headerFooter>
    <oddHeader>&amp;C&amp;"Courier New"&amp;12&amp;K000000 UNCLASSIFIED&amp;1#_x000D_</oddHeader>
    <oddFooter>&amp;C_x000D_&amp;1#&amp;"Courier New"&amp;12&amp;K000000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2D79-AF4F-4E5B-80F0-DDC42DDD02BF}">
  <sheetPr>
    <outlinePr summaryBelow="0" summaryRight="0"/>
  </sheetPr>
  <dimension ref="A1:D1000"/>
  <sheetViews>
    <sheetView topLeftCell="A28" workbookViewId="0">
      <selection activeCell="D41" sqref="A1:D42"/>
    </sheetView>
  </sheetViews>
  <sheetFormatPr defaultColWidth="12.5703125" defaultRowHeight="15.75" customHeight="1"/>
  <cols>
    <col min="1" max="1" width="15.42578125" style="5" bestFit="1" customWidth="1"/>
    <col min="2" max="2" width="51.7109375" style="5" customWidth="1"/>
    <col min="3" max="3" width="13.140625" style="5" bestFit="1" customWidth="1"/>
    <col min="4" max="4" width="15.140625" style="5" bestFit="1" customWidth="1"/>
    <col min="5" max="16384" width="12.5703125" style="5"/>
  </cols>
  <sheetData>
    <row r="1" spans="1:4" ht="15.75" customHeight="1">
      <c r="A1" s="31" t="s">
        <v>692</v>
      </c>
      <c r="B1" s="31" t="s">
        <v>691</v>
      </c>
      <c r="C1" s="31" t="s">
        <v>690</v>
      </c>
      <c r="D1" s="32" t="s">
        <v>689</v>
      </c>
    </row>
    <row r="2" spans="1:4" ht="15.75" customHeight="1">
      <c r="A2" s="33" t="s">
        <v>688</v>
      </c>
      <c r="B2" s="33" t="s">
        <v>590</v>
      </c>
      <c r="C2" s="31" t="s">
        <v>16</v>
      </c>
      <c r="D2" s="34">
        <v>0.29603631589930868</v>
      </c>
    </row>
    <row r="3" spans="1:4" ht="15.75" customHeight="1">
      <c r="A3" s="33" t="s">
        <v>687</v>
      </c>
      <c r="B3" s="33" t="s">
        <v>595</v>
      </c>
      <c r="C3" s="31" t="s">
        <v>16</v>
      </c>
      <c r="D3" s="34">
        <v>0.24462024657332535</v>
      </c>
    </row>
    <row r="4" spans="1:4" ht="15.75" customHeight="1">
      <c r="A4" s="33" t="s">
        <v>686</v>
      </c>
      <c r="B4" s="33" t="s">
        <v>597</v>
      </c>
      <c r="C4" s="31" t="s">
        <v>16</v>
      </c>
      <c r="D4" s="34">
        <v>0.32898971213891698</v>
      </c>
    </row>
    <row r="5" spans="1:4" ht="15.75" customHeight="1">
      <c r="A5" s="33" t="s">
        <v>685</v>
      </c>
      <c r="B5" s="33" t="s">
        <v>587</v>
      </c>
      <c r="C5" s="31" t="s">
        <v>16</v>
      </c>
      <c r="D5" s="34">
        <v>0.18962161404416805</v>
      </c>
    </row>
    <row r="6" spans="1:4" ht="15.75" customHeight="1">
      <c r="A6" s="33" t="s">
        <v>684</v>
      </c>
      <c r="B6" s="33" t="s">
        <v>588</v>
      </c>
      <c r="C6" s="31" t="s">
        <v>16</v>
      </c>
      <c r="D6" s="34">
        <v>0.34317805621536407</v>
      </c>
    </row>
    <row r="7" spans="1:4" ht="15.75" customHeight="1">
      <c r="A7" s="33" t="s">
        <v>683</v>
      </c>
      <c r="B7" s="33" t="s">
        <v>607</v>
      </c>
      <c r="C7" s="31" t="s">
        <v>16</v>
      </c>
      <c r="D7" s="34">
        <v>0.27739895597524128</v>
      </c>
    </row>
    <row r="8" spans="1:4" ht="15.75" customHeight="1">
      <c r="A8" s="33" t="s">
        <v>682</v>
      </c>
      <c r="B8" s="33" t="s">
        <v>604</v>
      </c>
      <c r="C8" s="31" t="s">
        <v>16</v>
      </c>
      <c r="D8" s="34">
        <v>0.31411922782970092</v>
      </c>
    </row>
    <row r="9" spans="1:4" ht="15.75" customHeight="1">
      <c r="A9" s="33" t="s">
        <v>681</v>
      </c>
      <c r="B9" s="33" t="s">
        <v>680</v>
      </c>
      <c r="C9" s="31" t="s">
        <v>16</v>
      </c>
      <c r="D9" s="34">
        <v>0.28539525279008732</v>
      </c>
    </row>
    <row r="10" spans="1:4" ht="15.75" customHeight="1">
      <c r="A10" s="33" t="s">
        <v>679</v>
      </c>
      <c r="B10" s="33" t="s">
        <v>678</v>
      </c>
      <c r="C10" s="31" t="s">
        <v>16</v>
      </c>
      <c r="D10" s="34">
        <v>0.2811719320496559</v>
      </c>
    </row>
    <row r="11" spans="1:4" ht="15.75" customHeight="1">
      <c r="A11" s="33" t="s">
        <v>677</v>
      </c>
      <c r="B11" s="33" t="s">
        <v>602</v>
      </c>
      <c r="C11" s="31" t="s">
        <v>16</v>
      </c>
      <c r="D11" s="34">
        <v>0.33333333333333298</v>
      </c>
    </row>
    <row r="12" spans="1:4" ht="15.75" customHeight="1">
      <c r="A12" s="33" t="s">
        <v>676</v>
      </c>
      <c r="B12" s="33" t="s">
        <v>606</v>
      </c>
      <c r="C12" s="31" t="s">
        <v>16</v>
      </c>
      <c r="D12" s="34">
        <v>0.35462825881889715</v>
      </c>
    </row>
    <row r="13" spans="1:4" ht="15.75" customHeight="1">
      <c r="A13" s="33" t="s">
        <v>675</v>
      </c>
      <c r="B13" s="33" t="s">
        <v>674</v>
      </c>
      <c r="C13" s="31" t="s">
        <v>16</v>
      </c>
      <c r="D13" s="34">
        <v>0.30099999999999999</v>
      </c>
    </row>
    <row r="14" spans="1:4" ht="15.75" customHeight="1">
      <c r="A14" s="33" t="s">
        <v>673</v>
      </c>
      <c r="B14" s="33" t="s">
        <v>599</v>
      </c>
      <c r="C14" s="31" t="s">
        <v>16</v>
      </c>
      <c r="D14" s="34">
        <v>0.39780638743924057</v>
      </c>
    </row>
    <row r="15" spans="1:4" ht="15.75" customHeight="1">
      <c r="A15" s="33" t="s">
        <v>672</v>
      </c>
      <c r="B15" s="33" t="s">
        <v>671</v>
      </c>
      <c r="C15" s="31" t="s">
        <v>16</v>
      </c>
      <c r="D15" s="34">
        <v>0.45757720465005436</v>
      </c>
    </row>
    <row r="16" spans="1:4" ht="15.75" customHeight="1">
      <c r="A16" s="33" t="s">
        <v>670</v>
      </c>
      <c r="B16" s="33" t="s">
        <v>669</v>
      </c>
      <c r="C16" s="31" t="s">
        <v>16</v>
      </c>
      <c r="D16" s="34">
        <v>0.22826980839118416</v>
      </c>
    </row>
    <row r="17" spans="1:4" ht="15.75" customHeight="1">
      <c r="A17" s="33" t="s">
        <v>668</v>
      </c>
      <c r="B17" s="33" t="s">
        <v>667</v>
      </c>
      <c r="C17" s="31" t="s">
        <v>16</v>
      </c>
      <c r="D17" s="34">
        <v>0.18285205464299528</v>
      </c>
    </row>
    <row r="18" spans="1:4" ht="15.75" customHeight="1">
      <c r="A18" s="33" t="s">
        <v>666</v>
      </c>
      <c r="B18" s="33" t="s">
        <v>665</v>
      </c>
      <c r="C18" s="31" t="s">
        <v>642</v>
      </c>
      <c r="D18" s="34">
        <v>0.23956498767171452</v>
      </c>
    </row>
    <row r="19" spans="1:4" ht="15.75" customHeight="1">
      <c r="A19" s="33" t="s">
        <v>664</v>
      </c>
      <c r="B19" s="33" t="s">
        <v>663</v>
      </c>
      <c r="C19" s="31" t="s">
        <v>642</v>
      </c>
      <c r="D19" s="34">
        <v>0.14422214777723819</v>
      </c>
    </row>
    <row r="20" spans="1:4" ht="15.75" customHeight="1">
      <c r="A20" s="33" t="s">
        <v>662</v>
      </c>
      <c r="B20" s="33" t="s">
        <v>661</v>
      </c>
      <c r="C20" s="31" t="s">
        <v>642</v>
      </c>
      <c r="D20" s="34">
        <v>0.2370142768411346</v>
      </c>
    </row>
    <row r="21" spans="1:4" ht="15.75" customHeight="1">
      <c r="A21" s="33" t="s">
        <v>660</v>
      </c>
      <c r="B21" s="33" t="s">
        <v>596</v>
      </c>
      <c r="C21" s="31" t="s">
        <v>642</v>
      </c>
      <c r="D21" s="34">
        <v>0.26596568602847104</v>
      </c>
    </row>
    <row r="22" spans="1:4" ht="15.75" customHeight="1">
      <c r="A22" s="33" t="s">
        <v>659</v>
      </c>
      <c r="B22" s="33" t="s">
        <v>658</v>
      </c>
      <c r="C22" s="31" t="s">
        <v>642</v>
      </c>
      <c r="D22" s="34">
        <v>0.54337393872277595</v>
      </c>
    </row>
    <row r="23" spans="1:4" ht="15.75" customHeight="1">
      <c r="A23" s="33" t="s">
        <v>657</v>
      </c>
      <c r="B23" s="33" t="s">
        <v>656</v>
      </c>
      <c r="C23" s="31" t="s">
        <v>642</v>
      </c>
      <c r="D23" s="34">
        <v>0.373455417160933</v>
      </c>
    </row>
    <row r="24" spans="1:4" ht="15.75" customHeight="1">
      <c r="A24" s="33" t="s">
        <v>655</v>
      </c>
      <c r="B24" s="33" t="s">
        <v>589</v>
      </c>
      <c r="C24" s="31" t="s">
        <v>642</v>
      </c>
      <c r="D24" s="34">
        <v>0.44483901515151447</v>
      </c>
    </row>
    <row r="25" spans="1:4" ht="15.75" customHeight="1">
      <c r="A25" s="33" t="s">
        <v>654</v>
      </c>
      <c r="B25" s="33" t="s">
        <v>609</v>
      </c>
      <c r="C25" s="31" t="s">
        <v>642</v>
      </c>
      <c r="D25" s="34">
        <v>0.52877242515518696</v>
      </c>
    </row>
    <row r="26" spans="1:4" ht="15.75" customHeight="1">
      <c r="A26" s="33" t="s">
        <v>653</v>
      </c>
      <c r="B26" s="33" t="s">
        <v>591</v>
      </c>
      <c r="C26" s="31" t="s">
        <v>642</v>
      </c>
      <c r="D26" s="34">
        <v>0.26805200903446696</v>
      </c>
    </row>
    <row r="27" spans="1:4" ht="15.75" customHeight="1">
      <c r="A27" s="33" t="s">
        <v>652</v>
      </c>
      <c r="B27" s="33" t="s">
        <v>651</v>
      </c>
      <c r="C27" s="31" t="s">
        <v>642</v>
      </c>
      <c r="D27" s="34">
        <v>0.64503259960110571</v>
      </c>
    </row>
    <row r="28" spans="1:4" ht="15.75" customHeight="1">
      <c r="A28" s="33" t="s">
        <v>650</v>
      </c>
      <c r="B28" s="33" t="s">
        <v>649</v>
      </c>
      <c r="C28" s="31" t="s">
        <v>642</v>
      </c>
      <c r="D28" s="34">
        <v>0.30119557279778403</v>
      </c>
    </row>
    <row r="29" spans="1:4" ht="15.75" customHeight="1">
      <c r="A29" s="33" t="s">
        <v>648</v>
      </c>
      <c r="B29" s="33" t="s">
        <v>593</v>
      </c>
      <c r="C29" s="31" t="s">
        <v>642</v>
      </c>
      <c r="D29" s="34">
        <v>0.33500000000000002</v>
      </c>
    </row>
    <row r="30" spans="1:4" ht="15.75" customHeight="1">
      <c r="A30" s="33" t="s">
        <v>647</v>
      </c>
      <c r="B30" s="33" t="s">
        <v>605</v>
      </c>
      <c r="C30" s="31" t="s">
        <v>642</v>
      </c>
      <c r="D30" s="34">
        <v>0.30468464195502548</v>
      </c>
    </row>
    <row r="31" spans="1:4" ht="15.75" customHeight="1">
      <c r="A31" s="33" t="s">
        <v>646</v>
      </c>
      <c r="B31" s="33" t="s">
        <v>592</v>
      </c>
      <c r="C31" s="31" t="s">
        <v>642</v>
      </c>
      <c r="D31" s="34">
        <v>0.20079198063695575</v>
      </c>
    </row>
    <row r="32" spans="1:4" ht="15.75" customHeight="1">
      <c r="A32" s="33" t="s">
        <v>645</v>
      </c>
      <c r="B32" s="33" t="s">
        <v>598</v>
      </c>
      <c r="C32" s="31" t="s">
        <v>642</v>
      </c>
      <c r="D32" s="34">
        <v>0.34626863992238266</v>
      </c>
    </row>
    <row r="33" spans="1:4" ht="15.75" customHeight="1">
      <c r="A33" s="33" t="s">
        <v>644</v>
      </c>
      <c r="B33" s="33" t="s">
        <v>643</v>
      </c>
      <c r="C33" s="31" t="s">
        <v>642</v>
      </c>
      <c r="D33" s="34">
        <v>0.16382978723404251</v>
      </c>
    </row>
    <row r="34" spans="1:4" ht="15.75" customHeight="1">
      <c r="A34" s="33" t="s">
        <v>641</v>
      </c>
      <c r="B34" s="33" t="s">
        <v>600</v>
      </c>
      <c r="C34" s="31" t="s">
        <v>46</v>
      </c>
      <c r="D34" s="34">
        <v>0.13260556192470907</v>
      </c>
    </row>
    <row r="35" spans="1:4" ht="15.75" customHeight="1">
      <c r="A35" s="33" t="s">
        <v>640</v>
      </c>
      <c r="B35" s="33" t="s">
        <v>639</v>
      </c>
      <c r="C35" s="31" t="s">
        <v>46</v>
      </c>
      <c r="D35" s="34">
        <v>0.19485430681515062</v>
      </c>
    </row>
    <row r="36" spans="1:4" ht="15.75" customHeight="1">
      <c r="A36" s="33" t="s">
        <v>638</v>
      </c>
      <c r="B36" s="33" t="s">
        <v>637</v>
      </c>
      <c r="C36" s="31" t="s">
        <v>46</v>
      </c>
      <c r="D36" s="34">
        <v>0.21053686245928083</v>
      </c>
    </row>
    <row r="37" spans="1:4" ht="15.75" customHeight="1">
      <c r="A37" s="33" t="s">
        <v>636</v>
      </c>
      <c r="B37" s="33" t="s">
        <v>603</v>
      </c>
      <c r="C37" s="31" t="s">
        <v>46</v>
      </c>
      <c r="D37" s="34">
        <v>0.20200000000000001</v>
      </c>
    </row>
    <row r="38" spans="1:4" ht="15.75" customHeight="1">
      <c r="A38" s="33" t="s">
        <v>635</v>
      </c>
      <c r="B38" s="33" t="s">
        <v>601</v>
      </c>
      <c r="C38" s="31" t="s">
        <v>46</v>
      </c>
      <c r="D38" s="34">
        <v>0.12396694214876</v>
      </c>
    </row>
    <row r="39" spans="1:4" ht="15.75" customHeight="1">
      <c r="A39" s="33" t="s">
        <v>634</v>
      </c>
      <c r="B39" s="33" t="s">
        <v>633</v>
      </c>
      <c r="C39" s="31" t="s">
        <v>46</v>
      </c>
      <c r="D39" s="34">
        <v>0.22760472765669926</v>
      </c>
    </row>
    <row r="40" spans="1:4" ht="15.75" customHeight="1">
      <c r="A40" s="33" t="s">
        <v>632</v>
      </c>
      <c r="B40" s="33" t="s">
        <v>594</v>
      </c>
      <c r="C40" s="31" t="s">
        <v>46</v>
      </c>
      <c r="D40" s="34">
        <v>0.22278735294431865</v>
      </c>
    </row>
    <row r="41" spans="1:4" ht="15.75" customHeight="1">
      <c r="A41" s="35" t="s">
        <v>631</v>
      </c>
      <c r="B41" s="33" t="s">
        <v>630</v>
      </c>
      <c r="C41" s="31" t="s">
        <v>46</v>
      </c>
      <c r="D41" s="34">
        <v>0.20200000000000001</v>
      </c>
    </row>
    <row r="42" spans="1:4" ht="15.75" customHeight="1">
      <c r="A42" s="33" t="s">
        <v>629</v>
      </c>
      <c r="B42" s="33" t="s">
        <v>608</v>
      </c>
      <c r="C42" s="31" t="s">
        <v>46</v>
      </c>
      <c r="D42" s="34">
        <v>0.23869637132254101</v>
      </c>
    </row>
    <row r="43" spans="1:4" ht="15.75" customHeight="1">
      <c r="D43" s="6"/>
    </row>
    <row r="44" spans="1:4" ht="15.75" customHeight="1">
      <c r="D44" s="6"/>
    </row>
    <row r="45" spans="1:4" ht="15.75" customHeight="1">
      <c r="D45" s="6"/>
    </row>
    <row r="46" spans="1:4" ht="15.75" customHeight="1">
      <c r="D46" s="6"/>
    </row>
    <row r="47" spans="1:4" ht="15.75" customHeight="1">
      <c r="D47" s="6"/>
    </row>
    <row r="48" spans="1:4" ht="15.75" customHeight="1">
      <c r="D48" s="6"/>
    </row>
    <row r="49" spans="4:4" ht="15.75" customHeight="1">
      <c r="D49" s="6"/>
    </row>
    <row r="50" spans="4:4" ht="15.75" customHeight="1">
      <c r="D50" s="6"/>
    </row>
    <row r="51" spans="4:4" ht="15.75" customHeight="1">
      <c r="D51" s="6"/>
    </row>
    <row r="52" spans="4:4" ht="15.75" customHeight="1">
      <c r="D52" s="6"/>
    </row>
    <row r="53" spans="4:4" ht="15.75" customHeight="1">
      <c r="D53" s="6"/>
    </row>
    <row r="54" spans="4:4" ht="15.75" customHeight="1">
      <c r="D54" s="6"/>
    </row>
    <row r="55" spans="4:4" ht="15.75" customHeight="1">
      <c r="D55" s="6"/>
    </row>
    <row r="56" spans="4:4" ht="15.75" customHeight="1">
      <c r="D56" s="6"/>
    </row>
    <row r="57" spans="4:4" ht="15.75" customHeight="1">
      <c r="D57" s="6"/>
    </row>
    <row r="58" spans="4:4" ht="15.75" customHeight="1">
      <c r="D58" s="6"/>
    </row>
    <row r="59" spans="4:4" ht="15.75" customHeight="1">
      <c r="D59" s="6"/>
    </row>
    <row r="60" spans="4:4" ht="15.75" customHeight="1">
      <c r="D60" s="6"/>
    </row>
    <row r="61" spans="4:4" ht="15.75" customHeight="1">
      <c r="D61" s="6"/>
    </row>
    <row r="62" spans="4:4" ht="15.75" customHeight="1">
      <c r="D62" s="6"/>
    </row>
    <row r="63" spans="4:4" ht="15.75" customHeight="1">
      <c r="D63" s="6"/>
    </row>
    <row r="64" spans="4:4" ht="15.75" customHeight="1">
      <c r="D64" s="6"/>
    </row>
    <row r="65" spans="4:4" ht="15.75" customHeight="1">
      <c r="D65" s="6"/>
    </row>
    <row r="66" spans="4:4" ht="15.75" customHeight="1">
      <c r="D66" s="6"/>
    </row>
    <row r="67" spans="4:4" ht="15.75" customHeight="1">
      <c r="D67" s="6"/>
    </row>
    <row r="68" spans="4:4" ht="15.75" customHeight="1">
      <c r="D68" s="6"/>
    </row>
    <row r="69" spans="4:4" ht="15.75" customHeight="1">
      <c r="D69" s="6"/>
    </row>
    <row r="70" spans="4:4" ht="15.75" customHeight="1">
      <c r="D70" s="6"/>
    </row>
    <row r="71" spans="4:4" ht="15.75" customHeight="1">
      <c r="D71" s="6"/>
    </row>
    <row r="72" spans="4:4" ht="15.75" customHeight="1">
      <c r="D72" s="6"/>
    </row>
    <row r="73" spans="4:4" ht="15.75" customHeight="1">
      <c r="D73" s="6"/>
    </row>
    <row r="74" spans="4:4" ht="15.75" customHeight="1">
      <c r="D74" s="6"/>
    </row>
    <row r="75" spans="4:4" ht="15.75" customHeight="1">
      <c r="D75" s="6"/>
    </row>
    <row r="76" spans="4:4" ht="15.75" customHeight="1">
      <c r="D76" s="6"/>
    </row>
    <row r="77" spans="4:4" ht="15.75" customHeight="1">
      <c r="D77" s="6"/>
    </row>
    <row r="78" spans="4:4" ht="15.75" customHeight="1">
      <c r="D78" s="6"/>
    </row>
    <row r="79" spans="4:4" ht="15.75" customHeight="1">
      <c r="D79" s="6"/>
    </row>
    <row r="80" spans="4:4" ht="15.75" customHeight="1">
      <c r="D80" s="6"/>
    </row>
    <row r="81" spans="4:4" ht="15.75" customHeight="1">
      <c r="D81" s="6"/>
    </row>
    <row r="82" spans="4:4" ht="15.75" customHeight="1">
      <c r="D82" s="6"/>
    </row>
    <row r="83" spans="4:4" ht="15.75" customHeight="1">
      <c r="D83" s="6"/>
    </row>
    <row r="84" spans="4:4" ht="15.75" customHeight="1">
      <c r="D84" s="6"/>
    </row>
    <row r="85" spans="4:4" ht="15.75" customHeight="1">
      <c r="D85" s="6"/>
    </row>
    <row r="86" spans="4:4" ht="15.75" customHeight="1">
      <c r="D86" s="6"/>
    </row>
    <row r="87" spans="4:4" ht="15.75" customHeight="1">
      <c r="D87" s="6"/>
    </row>
    <row r="88" spans="4:4" ht="15.75" customHeight="1">
      <c r="D88" s="6"/>
    </row>
    <row r="89" spans="4:4" ht="15.75" customHeight="1">
      <c r="D89" s="6"/>
    </row>
    <row r="90" spans="4:4" ht="15.75" customHeight="1">
      <c r="D90" s="6"/>
    </row>
    <row r="91" spans="4:4" ht="15.75" customHeight="1">
      <c r="D91" s="6"/>
    </row>
    <row r="92" spans="4:4" ht="15.75" customHeight="1">
      <c r="D92" s="6"/>
    </row>
    <row r="93" spans="4:4" ht="15.75" customHeight="1">
      <c r="D93" s="6"/>
    </row>
    <row r="94" spans="4:4" ht="15.75" customHeight="1">
      <c r="D94" s="6"/>
    </row>
    <row r="95" spans="4:4" ht="15.75" customHeight="1">
      <c r="D95" s="6"/>
    </row>
    <row r="96" spans="4:4" ht="15.75" customHeight="1">
      <c r="D96" s="6"/>
    </row>
    <row r="97" spans="4:4" ht="15.75" customHeight="1">
      <c r="D97" s="6"/>
    </row>
    <row r="98" spans="4:4" ht="15.75" customHeight="1">
      <c r="D98" s="6"/>
    </row>
    <row r="99" spans="4:4" ht="15.75" customHeight="1">
      <c r="D99" s="6"/>
    </row>
    <row r="100" spans="4:4" ht="15.75" customHeight="1">
      <c r="D100" s="6"/>
    </row>
    <row r="101" spans="4:4" ht="15.75" customHeight="1">
      <c r="D101" s="6"/>
    </row>
    <row r="102" spans="4:4" ht="15.75" customHeight="1">
      <c r="D102" s="6"/>
    </row>
    <row r="103" spans="4:4" ht="15.75" customHeight="1">
      <c r="D103" s="6"/>
    </row>
    <row r="104" spans="4:4" ht="15.75" customHeight="1">
      <c r="D104" s="6"/>
    </row>
    <row r="105" spans="4:4" ht="15.75" customHeight="1">
      <c r="D105" s="6"/>
    </row>
    <row r="106" spans="4:4" ht="15.75" customHeight="1">
      <c r="D106" s="6"/>
    </row>
    <row r="107" spans="4:4" ht="15.75" customHeight="1">
      <c r="D107" s="6"/>
    </row>
    <row r="108" spans="4:4" ht="15.75" customHeight="1">
      <c r="D108" s="6"/>
    </row>
    <row r="109" spans="4:4" ht="15.75" customHeight="1">
      <c r="D109" s="6"/>
    </row>
    <row r="110" spans="4:4" ht="15.75" customHeight="1">
      <c r="D110" s="6"/>
    </row>
    <row r="111" spans="4:4" ht="15.75" customHeight="1">
      <c r="D111" s="6"/>
    </row>
    <row r="112" spans="4:4" ht="15.75" customHeight="1">
      <c r="D112" s="6"/>
    </row>
    <row r="113" spans="4:4" ht="15.75" customHeight="1">
      <c r="D113" s="6"/>
    </row>
    <row r="114" spans="4:4" ht="15.75" customHeight="1">
      <c r="D114" s="6"/>
    </row>
    <row r="115" spans="4:4" ht="15.75" customHeight="1">
      <c r="D115" s="6"/>
    </row>
    <row r="116" spans="4:4" ht="15.75" customHeight="1">
      <c r="D116" s="6"/>
    </row>
    <row r="117" spans="4:4" ht="15.75" customHeight="1">
      <c r="D117" s="6"/>
    </row>
    <row r="118" spans="4:4" ht="15.75" customHeight="1">
      <c r="D118" s="6"/>
    </row>
    <row r="119" spans="4:4" ht="15.75" customHeight="1">
      <c r="D119" s="6"/>
    </row>
    <row r="120" spans="4:4" ht="15.75" customHeight="1">
      <c r="D120" s="6"/>
    </row>
    <row r="121" spans="4:4" ht="15.75" customHeight="1">
      <c r="D121" s="6"/>
    </row>
    <row r="122" spans="4:4" ht="15.75" customHeight="1">
      <c r="D122" s="6"/>
    </row>
    <row r="123" spans="4:4" ht="15.75" customHeight="1">
      <c r="D123" s="6"/>
    </row>
    <row r="124" spans="4:4" ht="15.75" customHeight="1">
      <c r="D124" s="6"/>
    </row>
    <row r="125" spans="4:4" ht="15.75" customHeight="1">
      <c r="D125" s="6"/>
    </row>
    <row r="126" spans="4:4" ht="15.75" customHeight="1">
      <c r="D126" s="6"/>
    </row>
    <row r="127" spans="4:4" ht="15.75" customHeight="1">
      <c r="D127" s="6"/>
    </row>
    <row r="128" spans="4:4" ht="15.75" customHeight="1">
      <c r="D128" s="6"/>
    </row>
    <row r="129" spans="4:4" ht="15.75" customHeight="1">
      <c r="D129" s="6"/>
    </row>
    <row r="130" spans="4:4" ht="15.75" customHeight="1">
      <c r="D130" s="6"/>
    </row>
    <row r="131" spans="4:4" ht="15.75" customHeight="1">
      <c r="D131" s="6"/>
    </row>
    <row r="132" spans="4:4" ht="15.75" customHeight="1">
      <c r="D132" s="6"/>
    </row>
    <row r="133" spans="4:4" ht="15.75" customHeight="1">
      <c r="D133" s="6"/>
    </row>
    <row r="134" spans="4:4" ht="15.75" customHeight="1">
      <c r="D134" s="6"/>
    </row>
    <row r="135" spans="4:4" ht="15.75" customHeight="1">
      <c r="D135" s="6"/>
    </row>
    <row r="136" spans="4:4" ht="15.75" customHeight="1">
      <c r="D136" s="6"/>
    </row>
    <row r="137" spans="4:4" ht="15.75" customHeight="1">
      <c r="D137" s="6"/>
    </row>
    <row r="138" spans="4:4" ht="15.75" customHeight="1">
      <c r="D138" s="6"/>
    </row>
    <row r="139" spans="4:4" ht="15.75" customHeight="1">
      <c r="D139" s="6"/>
    </row>
    <row r="140" spans="4:4" ht="15.75" customHeight="1">
      <c r="D140" s="6"/>
    </row>
    <row r="141" spans="4:4" ht="15.75" customHeight="1">
      <c r="D141" s="6"/>
    </row>
    <row r="142" spans="4:4" ht="15.75" customHeight="1">
      <c r="D142" s="6"/>
    </row>
    <row r="143" spans="4:4" ht="15.75" customHeight="1">
      <c r="D143" s="6"/>
    </row>
    <row r="144" spans="4:4" ht="15.75" customHeight="1">
      <c r="D144" s="6"/>
    </row>
    <row r="145" spans="4:4" ht="15.75" customHeight="1">
      <c r="D145" s="6"/>
    </row>
    <row r="146" spans="4:4" ht="15.75" customHeight="1">
      <c r="D146" s="6"/>
    </row>
    <row r="147" spans="4:4" ht="15.75" customHeight="1">
      <c r="D147" s="6"/>
    </row>
    <row r="148" spans="4:4" ht="15.75" customHeight="1">
      <c r="D148" s="6"/>
    </row>
    <row r="149" spans="4:4" ht="15.75" customHeight="1">
      <c r="D149" s="6"/>
    </row>
    <row r="150" spans="4:4" ht="15.75" customHeight="1">
      <c r="D150" s="6"/>
    </row>
    <row r="151" spans="4:4" ht="15.75" customHeight="1">
      <c r="D151" s="6"/>
    </row>
    <row r="152" spans="4:4" ht="15.75" customHeight="1">
      <c r="D152" s="6"/>
    </row>
    <row r="153" spans="4:4" ht="15.75" customHeight="1">
      <c r="D153" s="6"/>
    </row>
    <row r="154" spans="4:4" ht="15.75" customHeight="1">
      <c r="D154" s="6"/>
    </row>
    <row r="155" spans="4:4" ht="15.75" customHeight="1">
      <c r="D155" s="6"/>
    </row>
    <row r="156" spans="4:4" ht="15.75" customHeight="1">
      <c r="D156" s="6"/>
    </row>
    <row r="157" spans="4:4" ht="15.75" customHeight="1">
      <c r="D157" s="6"/>
    </row>
    <row r="158" spans="4:4" ht="15.75" customHeight="1">
      <c r="D158" s="6"/>
    </row>
    <row r="159" spans="4:4" ht="15.75" customHeight="1">
      <c r="D159" s="6"/>
    </row>
    <row r="160" spans="4:4" ht="15.75" customHeight="1">
      <c r="D160" s="6"/>
    </row>
    <row r="161" spans="4:4" ht="15.75" customHeight="1">
      <c r="D161" s="6"/>
    </row>
    <row r="162" spans="4:4" ht="15.75" customHeight="1">
      <c r="D162" s="6"/>
    </row>
    <row r="163" spans="4:4" ht="15.75" customHeight="1">
      <c r="D163" s="6"/>
    </row>
    <row r="164" spans="4:4" ht="15.75" customHeight="1">
      <c r="D164" s="6"/>
    </row>
    <row r="165" spans="4:4" ht="15.75" customHeight="1">
      <c r="D165" s="6"/>
    </row>
    <row r="166" spans="4:4" ht="15.75" customHeight="1">
      <c r="D166" s="6"/>
    </row>
    <row r="167" spans="4:4" ht="15.75" customHeight="1">
      <c r="D167" s="6"/>
    </row>
    <row r="168" spans="4:4" ht="15.75" customHeight="1">
      <c r="D168" s="6"/>
    </row>
    <row r="169" spans="4:4" ht="15.75" customHeight="1">
      <c r="D169" s="6"/>
    </row>
    <row r="170" spans="4:4" ht="15.75" customHeight="1">
      <c r="D170" s="6"/>
    </row>
    <row r="171" spans="4:4" ht="15.75" customHeight="1">
      <c r="D171" s="6"/>
    </row>
    <row r="172" spans="4:4" ht="15.75" customHeight="1">
      <c r="D172" s="6"/>
    </row>
    <row r="173" spans="4:4" ht="15.75" customHeight="1">
      <c r="D173" s="6"/>
    </row>
    <row r="174" spans="4:4" ht="15.75" customHeight="1">
      <c r="D174" s="6"/>
    </row>
    <row r="175" spans="4:4" ht="15.75" customHeight="1">
      <c r="D175" s="6"/>
    </row>
    <row r="176" spans="4:4" ht="15.75" customHeight="1">
      <c r="D176" s="6"/>
    </row>
    <row r="177" spans="4:4" ht="15.75" customHeight="1">
      <c r="D177" s="6"/>
    </row>
    <row r="178" spans="4:4" ht="15.75" customHeight="1">
      <c r="D178" s="6"/>
    </row>
    <row r="179" spans="4:4" ht="15.75" customHeight="1">
      <c r="D179" s="6"/>
    </row>
    <row r="180" spans="4:4" ht="15.75" customHeight="1">
      <c r="D180" s="6"/>
    </row>
    <row r="181" spans="4:4" ht="15.75" customHeight="1">
      <c r="D181" s="6"/>
    </row>
    <row r="182" spans="4:4" ht="15.75" customHeight="1">
      <c r="D182" s="6"/>
    </row>
    <row r="183" spans="4:4" ht="15.75" customHeight="1">
      <c r="D183" s="6"/>
    </row>
    <row r="184" spans="4:4" ht="15.75" customHeight="1">
      <c r="D184" s="6"/>
    </row>
    <row r="185" spans="4:4" ht="15.75" customHeight="1">
      <c r="D185" s="6"/>
    </row>
    <row r="186" spans="4:4" ht="15.75" customHeight="1">
      <c r="D186" s="6"/>
    </row>
    <row r="187" spans="4:4" ht="15.75" customHeight="1">
      <c r="D187" s="6"/>
    </row>
    <row r="188" spans="4:4" ht="15.75" customHeight="1">
      <c r="D188" s="6"/>
    </row>
    <row r="189" spans="4:4" ht="15.75" customHeight="1">
      <c r="D189" s="6"/>
    </row>
    <row r="190" spans="4:4" ht="15.75" customHeight="1">
      <c r="D190" s="6"/>
    </row>
    <row r="191" spans="4:4" ht="15.75" customHeight="1">
      <c r="D191" s="6"/>
    </row>
    <row r="192" spans="4:4" ht="15.75" customHeight="1">
      <c r="D192" s="6"/>
    </row>
    <row r="193" spans="4:4" ht="15.75" customHeight="1">
      <c r="D193" s="6"/>
    </row>
    <row r="194" spans="4:4" ht="15.75" customHeight="1">
      <c r="D194" s="6"/>
    </row>
    <row r="195" spans="4:4" ht="15.75" customHeight="1">
      <c r="D195" s="6"/>
    </row>
    <row r="196" spans="4:4" ht="15.75" customHeight="1">
      <c r="D196" s="6"/>
    </row>
    <row r="197" spans="4:4" ht="15.75" customHeight="1">
      <c r="D197" s="6"/>
    </row>
    <row r="198" spans="4:4" ht="15.75" customHeight="1">
      <c r="D198" s="6"/>
    </row>
    <row r="199" spans="4:4" ht="15.75" customHeight="1">
      <c r="D199" s="6"/>
    </row>
    <row r="200" spans="4:4" ht="15.75" customHeight="1">
      <c r="D200" s="6"/>
    </row>
    <row r="201" spans="4:4" ht="15.75" customHeight="1">
      <c r="D201" s="6"/>
    </row>
    <row r="202" spans="4:4" ht="15.75" customHeight="1">
      <c r="D202" s="6"/>
    </row>
    <row r="203" spans="4:4" ht="15.75" customHeight="1">
      <c r="D203" s="6"/>
    </row>
    <row r="204" spans="4:4" ht="15.75" customHeight="1">
      <c r="D204" s="6"/>
    </row>
    <row r="205" spans="4:4" ht="15.75" customHeight="1">
      <c r="D205" s="6"/>
    </row>
    <row r="206" spans="4:4" ht="15.75" customHeight="1">
      <c r="D206" s="6"/>
    </row>
    <row r="207" spans="4:4" ht="15.75" customHeight="1">
      <c r="D207" s="6"/>
    </row>
    <row r="208" spans="4:4" ht="15.75" customHeight="1">
      <c r="D208" s="6"/>
    </row>
    <row r="209" spans="4:4" ht="15.75" customHeight="1">
      <c r="D209" s="6"/>
    </row>
    <row r="210" spans="4:4" ht="15.75" customHeight="1">
      <c r="D210" s="6"/>
    </row>
    <row r="211" spans="4:4" ht="15.75" customHeight="1">
      <c r="D211" s="6"/>
    </row>
    <row r="212" spans="4:4" ht="15.75" customHeight="1">
      <c r="D212" s="6"/>
    </row>
    <row r="213" spans="4:4" ht="15.75" customHeight="1">
      <c r="D213" s="6"/>
    </row>
    <row r="214" spans="4:4" ht="15.75" customHeight="1">
      <c r="D214" s="6"/>
    </row>
    <row r="215" spans="4:4" ht="15.75" customHeight="1">
      <c r="D215" s="6"/>
    </row>
    <row r="216" spans="4:4" ht="15.75" customHeight="1">
      <c r="D216" s="6"/>
    </row>
    <row r="217" spans="4:4" ht="15.75" customHeight="1">
      <c r="D217" s="6"/>
    </row>
    <row r="218" spans="4:4" ht="15.75" customHeight="1">
      <c r="D218" s="6"/>
    </row>
    <row r="219" spans="4:4" ht="15.75" customHeight="1">
      <c r="D219" s="6"/>
    </row>
    <row r="220" spans="4:4" ht="15.75" customHeight="1">
      <c r="D220" s="6"/>
    </row>
    <row r="221" spans="4:4" ht="15.75" customHeight="1">
      <c r="D221" s="6"/>
    </row>
    <row r="222" spans="4:4" ht="15.75" customHeight="1">
      <c r="D222" s="6"/>
    </row>
    <row r="223" spans="4:4" ht="15.75" customHeight="1">
      <c r="D223" s="6"/>
    </row>
    <row r="224" spans="4:4" ht="15.75" customHeight="1">
      <c r="D224" s="6"/>
    </row>
    <row r="225" spans="4:4" ht="15.75" customHeight="1">
      <c r="D225" s="6"/>
    </row>
    <row r="226" spans="4:4" ht="15.75" customHeight="1">
      <c r="D226" s="6"/>
    </row>
    <row r="227" spans="4:4" ht="15.75" customHeight="1">
      <c r="D227" s="6"/>
    </row>
    <row r="228" spans="4:4" ht="15.75" customHeight="1">
      <c r="D228" s="6"/>
    </row>
    <row r="229" spans="4:4" ht="15.75" customHeight="1">
      <c r="D229" s="6"/>
    </row>
    <row r="230" spans="4:4" ht="15.75" customHeight="1">
      <c r="D230" s="6"/>
    </row>
    <row r="231" spans="4:4" ht="15.75" customHeight="1">
      <c r="D231" s="6"/>
    </row>
    <row r="232" spans="4:4" ht="15.75" customHeight="1">
      <c r="D232" s="6"/>
    </row>
    <row r="233" spans="4:4" ht="15.75" customHeight="1">
      <c r="D233" s="6"/>
    </row>
    <row r="234" spans="4:4" ht="15.75" customHeight="1">
      <c r="D234" s="6"/>
    </row>
    <row r="235" spans="4:4" ht="15.75" customHeight="1">
      <c r="D235" s="6"/>
    </row>
    <row r="236" spans="4:4" ht="15.75" customHeight="1">
      <c r="D236" s="6"/>
    </row>
    <row r="237" spans="4:4" ht="15.75" customHeight="1">
      <c r="D237" s="6"/>
    </row>
    <row r="238" spans="4:4" ht="15.75" customHeight="1">
      <c r="D238" s="6"/>
    </row>
    <row r="239" spans="4:4" ht="15.75" customHeight="1">
      <c r="D239" s="6"/>
    </row>
    <row r="240" spans="4:4" ht="15.75" customHeight="1">
      <c r="D240" s="6"/>
    </row>
    <row r="241" spans="4:4" ht="15.75" customHeight="1">
      <c r="D241" s="6"/>
    </row>
    <row r="242" spans="4:4" ht="15.75" customHeight="1">
      <c r="D242" s="6"/>
    </row>
    <row r="243" spans="4:4" ht="15.75" customHeight="1">
      <c r="D243" s="6"/>
    </row>
    <row r="244" spans="4:4" ht="15.75" customHeight="1">
      <c r="D244" s="6"/>
    </row>
    <row r="245" spans="4:4" ht="15.75" customHeight="1">
      <c r="D245" s="6"/>
    </row>
    <row r="246" spans="4:4" ht="15.75" customHeight="1">
      <c r="D246" s="6"/>
    </row>
    <row r="247" spans="4:4" ht="15.75" customHeight="1">
      <c r="D247" s="6"/>
    </row>
    <row r="248" spans="4:4" ht="15.75" customHeight="1">
      <c r="D248" s="6"/>
    </row>
    <row r="249" spans="4:4" ht="15.75" customHeight="1">
      <c r="D249" s="6"/>
    </row>
    <row r="250" spans="4:4" ht="15.75" customHeight="1">
      <c r="D250" s="6"/>
    </row>
    <row r="251" spans="4:4" ht="15.75" customHeight="1">
      <c r="D251" s="6"/>
    </row>
    <row r="252" spans="4:4" ht="15.75" customHeight="1">
      <c r="D252" s="6"/>
    </row>
    <row r="253" spans="4:4" ht="15.75" customHeight="1">
      <c r="D253" s="6"/>
    </row>
    <row r="254" spans="4:4" ht="15.75" customHeight="1">
      <c r="D254" s="6"/>
    </row>
    <row r="255" spans="4:4" ht="15.75" customHeight="1">
      <c r="D255" s="6"/>
    </row>
    <row r="256" spans="4:4" ht="15.75" customHeight="1">
      <c r="D256" s="6"/>
    </row>
    <row r="257" spans="4:4" ht="15.75" customHeight="1">
      <c r="D257" s="6"/>
    </row>
    <row r="258" spans="4:4" ht="15.75" customHeight="1">
      <c r="D258" s="6"/>
    </row>
    <row r="259" spans="4:4" ht="15.75" customHeight="1">
      <c r="D259" s="6"/>
    </row>
    <row r="260" spans="4:4" ht="15.75" customHeight="1">
      <c r="D260" s="6"/>
    </row>
    <row r="261" spans="4:4" ht="15.75" customHeight="1">
      <c r="D261" s="6"/>
    </row>
    <row r="262" spans="4:4" ht="15.75" customHeight="1">
      <c r="D262" s="6"/>
    </row>
    <row r="263" spans="4:4" ht="15.75" customHeight="1">
      <c r="D263" s="6"/>
    </row>
    <row r="264" spans="4:4" ht="15.75" customHeight="1">
      <c r="D264" s="6"/>
    </row>
    <row r="265" spans="4:4" ht="15.75" customHeight="1">
      <c r="D265" s="6"/>
    </row>
    <row r="266" spans="4:4" ht="15.75" customHeight="1">
      <c r="D266" s="6"/>
    </row>
    <row r="267" spans="4:4" ht="15.75" customHeight="1">
      <c r="D267" s="6"/>
    </row>
    <row r="268" spans="4:4" ht="15.75" customHeight="1">
      <c r="D268" s="6"/>
    </row>
    <row r="269" spans="4:4" ht="15.75" customHeight="1">
      <c r="D269" s="6"/>
    </row>
    <row r="270" spans="4:4" ht="15.75" customHeight="1">
      <c r="D270" s="6"/>
    </row>
    <row r="271" spans="4:4" ht="15.75" customHeight="1">
      <c r="D271" s="6"/>
    </row>
    <row r="272" spans="4:4" ht="15.75" customHeight="1">
      <c r="D272" s="6"/>
    </row>
    <row r="273" spans="4:4" ht="15.75" customHeight="1">
      <c r="D273" s="6"/>
    </row>
    <row r="274" spans="4:4" ht="15.75" customHeight="1">
      <c r="D274" s="6"/>
    </row>
    <row r="275" spans="4:4" ht="15.75" customHeight="1">
      <c r="D275" s="6"/>
    </row>
    <row r="276" spans="4:4" ht="15.75" customHeight="1">
      <c r="D276" s="6"/>
    </row>
    <row r="277" spans="4:4" ht="15.75" customHeight="1">
      <c r="D277" s="6"/>
    </row>
    <row r="278" spans="4:4" ht="15.75" customHeight="1">
      <c r="D278" s="6"/>
    </row>
    <row r="279" spans="4:4" ht="15.75" customHeight="1">
      <c r="D279" s="6"/>
    </row>
    <row r="280" spans="4:4" ht="15.75" customHeight="1">
      <c r="D280" s="6"/>
    </row>
    <row r="281" spans="4:4" ht="15.75" customHeight="1">
      <c r="D281" s="6"/>
    </row>
    <row r="282" spans="4:4" ht="15.75" customHeight="1">
      <c r="D282" s="6"/>
    </row>
    <row r="283" spans="4:4" ht="15.75" customHeight="1">
      <c r="D283" s="6"/>
    </row>
    <row r="284" spans="4:4" ht="15.75" customHeight="1">
      <c r="D284" s="6"/>
    </row>
    <row r="285" spans="4:4" ht="15.75" customHeight="1">
      <c r="D285" s="6"/>
    </row>
    <row r="286" spans="4:4" ht="15.75" customHeight="1">
      <c r="D286" s="6"/>
    </row>
    <row r="287" spans="4:4" ht="15.75" customHeight="1">
      <c r="D287" s="6"/>
    </row>
    <row r="288" spans="4:4" ht="15.75" customHeight="1">
      <c r="D288" s="6"/>
    </row>
    <row r="289" spans="4:4" ht="15.75" customHeight="1">
      <c r="D289" s="6"/>
    </row>
    <row r="290" spans="4:4" ht="15.75" customHeight="1">
      <c r="D290" s="6"/>
    </row>
    <row r="291" spans="4:4" ht="15.75" customHeight="1">
      <c r="D291" s="6"/>
    </row>
    <row r="292" spans="4:4" ht="15.75" customHeight="1">
      <c r="D292" s="6"/>
    </row>
    <row r="293" spans="4:4" ht="15.75" customHeight="1">
      <c r="D293" s="6"/>
    </row>
    <row r="294" spans="4:4" ht="15.75" customHeight="1">
      <c r="D294" s="6"/>
    </row>
    <row r="295" spans="4:4" ht="15.75" customHeight="1">
      <c r="D295" s="6"/>
    </row>
    <row r="296" spans="4:4" ht="15.75" customHeight="1">
      <c r="D296" s="6"/>
    </row>
    <row r="297" spans="4:4" ht="15.75" customHeight="1">
      <c r="D297" s="6"/>
    </row>
    <row r="298" spans="4:4" ht="15.75" customHeight="1">
      <c r="D298" s="6"/>
    </row>
    <row r="299" spans="4:4" ht="15.75" customHeight="1">
      <c r="D299" s="6"/>
    </row>
    <row r="300" spans="4:4" ht="15.75" customHeight="1">
      <c r="D300" s="6"/>
    </row>
    <row r="301" spans="4:4" ht="15.75" customHeight="1">
      <c r="D301" s="6"/>
    </row>
    <row r="302" spans="4:4" ht="15.75" customHeight="1">
      <c r="D302" s="6"/>
    </row>
    <row r="303" spans="4:4" ht="15.75" customHeight="1">
      <c r="D303" s="6"/>
    </row>
    <row r="304" spans="4:4" ht="15.75" customHeight="1">
      <c r="D304" s="6"/>
    </row>
    <row r="305" spans="4:4" ht="15.75" customHeight="1">
      <c r="D305" s="6"/>
    </row>
    <row r="306" spans="4:4" ht="15.75" customHeight="1">
      <c r="D306" s="6"/>
    </row>
    <row r="307" spans="4:4" ht="15.75" customHeight="1">
      <c r="D307" s="6"/>
    </row>
    <row r="308" spans="4:4" ht="15.75" customHeight="1">
      <c r="D308" s="6"/>
    </row>
    <row r="309" spans="4:4" ht="15.75" customHeight="1">
      <c r="D309" s="6"/>
    </row>
    <row r="310" spans="4:4" ht="15.75" customHeight="1">
      <c r="D310" s="6"/>
    </row>
    <row r="311" spans="4:4" ht="15.75" customHeight="1">
      <c r="D311" s="6"/>
    </row>
    <row r="312" spans="4:4" ht="15.75" customHeight="1">
      <c r="D312" s="6"/>
    </row>
    <row r="313" spans="4:4" ht="15.75" customHeight="1">
      <c r="D313" s="6"/>
    </row>
    <row r="314" spans="4:4" ht="15.75" customHeight="1">
      <c r="D314" s="6"/>
    </row>
    <row r="315" spans="4:4" ht="15.75" customHeight="1">
      <c r="D315" s="6"/>
    </row>
    <row r="316" spans="4:4" ht="15.75" customHeight="1">
      <c r="D316" s="6"/>
    </row>
    <row r="317" spans="4:4" ht="15.75" customHeight="1">
      <c r="D317" s="6"/>
    </row>
    <row r="318" spans="4:4" ht="15.75" customHeight="1">
      <c r="D318" s="6"/>
    </row>
    <row r="319" spans="4:4" ht="15.75" customHeight="1">
      <c r="D319" s="6"/>
    </row>
    <row r="320" spans="4:4" ht="15.75" customHeight="1">
      <c r="D320" s="6"/>
    </row>
    <row r="321" spans="4:4" ht="15.75" customHeight="1">
      <c r="D321" s="6"/>
    </row>
    <row r="322" spans="4:4" ht="15.75" customHeight="1">
      <c r="D322" s="6"/>
    </row>
    <row r="323" spans="4:4" ht="15.75" customHeight="1">
      <c r="D323" s="6"/>
    </row>
    <row r="324" spans="4:4" ht="15.75" customHeight="1">
      <c r="D324" s="6"/>
    </row>
    <row r="325" spans="4:4" ht="15.75" customHeight="1">
      <c r="D325" s="6"/>
    </row>
    <row r="326" spans="4:4" ht="15.75" customHeight="1">
      <c r="D326" s="6"/>
    </row>
    <row r="327" spans="4:4" ht="15.75" customHeight="1">
      <c r="D327" s="6"/>
    </row>
    <row r="328" spans="4:4" ht="15.75" customHeight="1">
      <c r="D328" s="6"/>
    </row>
    <row r="329" spans="4:4" ht="15.75" customHeight="1">
      <c r="D329" s="6"/>
    </row>
    <row r="330" spans="4:4" ht="15.75" customHeight="1">
      <c r="D330" s="6"/>
    </row>
    <row r="331" spans="4:4" ht="15.75" customHeight="1">
      <c r="D331" s="6"/>
    </row>
    <row r="332" spans="4:4" ht="15.75" customHeight="1">
      <c r="D332" s="6"/>
    </row>
    <row r="333" spans="4:4" ht="15.75" customHeight="1">
      <c r="D333" s="6"/>
    </row>
    <row r="334" spans="4:4" ht="15.75" customHeight="1">
      <c r="D334" s="6"/>
    </row>
    <row r="335" spans="4:4" ht="15.75" customHeight="1">
      <c r="D335" s="6"/>
    </row>
    <row r="336" spans="4:4" ht="15.75" customHeight="1">
      <c r="D336" s="6"/>
    </row>
    <row r="337" spans="4:4" ht="15.75" customHeight="1">
      <c r="D337" s="6"/>
    </row>
    <row r="338" spans="4:4" ht="15.75" customHeight="1">
      <c r="D338" s="6"/>
    </row>
    <row r="339" spans="4:4" ht="15.75" customHeight="1">
      <c r="D339" s="6"/>
    </row>
    <row r="340" spans="4:4" ht="15.75" customHeight="1">
      <c r="D340" s="6"/>
    </row>
    <row r="341" spans="4:4" ht="15.75" customHeight="1">
      <c r="D341" s="6"/>
    </row>
    <row r="342" spans="4:4" ht="15.75" customHeight="1">
      <c r="D342" s="6"/>
    </row>
    <row r="343" spans="4:4" ht="15.75" customHeight="1">
      <c r="D343" s="6"/>
    </row>
    <row r="344" spans="4:4" ht="15.75" customHeight="1">
      <c r="D344" s="6"/>
    </row>
    <row r="345" spans="4:4" ht="15.75" customHeight="1">
      <c r="D345" s="6"/>
    </row>
    <row r="346" spans="4:4" ht="15.75" customHeight="1">
      <c r="D346" s="6"/>
    </row>
    <row r="347" spans="4:4" ht="15.75" customHeight="1">
      <c r="D347" s="6"/>
    </row>
    <row r="348" spans="4:4" ht="15.75" customHeight="1">
      <c r="D348" s="6"/>
    </row>
    <row r="349" spans="4:4" ht="15.75" customHeight="1">
      <c r="D349" s="6"/>
    </row>
    <row r="350" spans="4:4" ht="15.75" customHeight="1">
      <c r="D350" s="6"/>
    </row>
    <row r="351" spans="4:4" ht="15.75" customHeight="1">
      <c r="D351" s="6"/>
    </row>
    <row r="352" spans="4:4" ht="15.75" customHeight="1">
      <c r="D352" s="6"/>
    </row>
    <row r="353" spans="4:4" ht="15.75" customHeight="1">
      <c r="D353" s="6"/>
    </row>
    <row r="354" spans="4:4" ht="15.75" customHeight="1">
      <c r="D354" s="6"/>
    </row>
    <row r="355" spans="4:4" ht="15.75" customHeight="1">
      <c r="D355" s="6"/>
    </row>
    <row r="356" spans="4:4" ht="15.75" customHeight="1">
      <c r="D356" s="6"/>
    </row>
    <row r="357" spans="4:4" ht="15.75" customHeight="1">
      <c r="D357" s="6"/>
    </row>
    <row r="358" spans="4:4" ht="15.75" customHeight="1">
      <c r="D358" s="6"/>
    </row>
    <row r="359" spans="4:4" ht="15.75" customHeight="1">
      <c r="D359" s="6"/>
    </row>
    <row r="360" spans="4:4" ht="15.75" customHeight="1">
      <c r="D360" s="6"/>
    </row>
    <row r="361" spans="4:4" ht="15.75" customHeight="1">
      <c r="D361" s="6"/>
    </row>
    <row r="362" spans="4:4" ht="15.75" customHeight="1">
      <c r="D362" s="6"/>
    </row>
    <row r="363" spans="4:4" ht="15.75" customHeight="1">
      <c r="D363" s="6"/>
    </row>
    <row r="364" spans="4:4" ht="15.75" customHeight="1">
      <c r="D364" s="6"/>
    </row>
    <row r="365" spans="4:4" ht="15.75" customHeight="1">
      <c r="D365" s="6"/>
    </row>
    <row r="366" spans="4:4" ht="15.75" customHeight="1">
      <c r="D366" s="6"/>
    </row>
    <row r="367" spans="4:4" ht="15.75" customHeight="1">
      <c r="D367" s="6"/>
    </row>
    <row r="368" spans="4:4" ht="15.75" customHeight="1">
      <c r="D368" s="6"/>
    </row>
    <row r="369" spans="4:4" ht="15.75" customHeight="1">
      <c r="D369" s="6"/>
    </row>
    <row r="370" spans="4:4" ht="15.75" customHeight="1">
      <c r="D370" s="6"/>
    </row>
    <row r="371" spans="4:4" ht="15.75" customHeight="1">
      <c r="D371" s="6"/>
    </row>
    <row r="372" spans="4:4" ht="15.75" customHeight="1">
      <c r="D372" s="6"/>
    </row>
    <row r="373" spans="4:4" ht="15.75" customHeight="1">
      <c r="D373" s="6"/>
    </row>
    <row r="374" spans="4:4" ht="15.75" customHeight="1">
      <c r="D374" s="6"/>
    </row>
    <row r="375" spans="4:4" ht="15.75" customHeight="1">
      <c r="D375" s="6"/>
    </row>
    <row r="376" spans="4:4" ht="15.75" customHeight="1">
      <c r="D376" s="6"/>
    </row>
    <row r="377" spans="4:4" ht="15.75" customHeight="1">
      <c r="D377" s="6"/>
    </row>
    <row r="378" spans="4:4" ht="15.75" customHeight="1">
      <c r="D378" s="6"/>
    </row>
    <row r="379" spans="4:4" ht="15.75" customHeight="1">
      <c r="D379" s="6"/>
    </row>
    <row r="380" spans="4:4" ht="15.75" customHeight="1">
      <c r="D380" s="6"/>
    </row>
    <row r="381" spans="4:4" ht="15.75" customHeight="1">
      <c r="D381" s="6"/>
    </row>
    <row r="382" spans="4:4" ht="15.75" customHeight="1">
      <c r="D382" s="6"/>
    </row>
    <row r="383" spans="4:4" ht="15.75" customHeight="1">
      <c r="D383" s="6"/>
    </row>
    <row r="384" spans="4:4" ht="15.75" customHeight="1">
      <c r="D384" s="6"/>
    </row>
    <row r="385" spans="4:4" ht="15.75" customHeight="1">
      <c r="D385" s="6"/>
    </row>
    <row r="386" spans="4:4" ht="15.75" customHeight="1">
      <c r="D386" s="6"/>
    </row>
    <row r="387" spans="4:4" ht="15.75" customHeight="1">
      <c r="D387" s="6"/>
    </row>
    <row r="388" spans="4:4" ht="15.75" customHeight="1">
      <c r="D388" s="6"/>
    </row>
    <row r="389" spans="4:4" ht="15.75" customHeight="1">
      <c r="D389" s="6"/>
    </row>
    <row r="390" spans="4:4" ht="15.75" customHeight="1">
      <c r="D390" s="6"/>
    </row>
    <row r="391" spans="4:4" ht="15.75" customHeight="1">
      <c r="D391" s="6"/>
    </row>
    <row r="392" spans="4:4" ht="15.75" customHeight="1">
      <c r="D392" s="6"/>
    </row>
    <row r="393" spans="4:4" ht="15.75" customHeight="1">
      <c r="D393" s="6"/>
    </row>
    <row r="394" spans="4:4" ht="15.75" customHeight="1">
      <c r="D394" s="6"/>
    </row>
    <row r="395" spans="4:4" ht="15.75" customHeight="1">
      <c r="D395" s="6"/>
    </row>
    <row r="396" spans="4:4" ht="15.75" customHeight="1">
      <c r="D396" s="6"/>
    </row>
    <row r="397" spans="4:4" ht="15.75" customHeight="1">
      <c r="D397" s="6"/>
    </row>
    <row r="398" spans="4:4" ht="15.75" customHeight="1">
      <c r="D398" s="6"/>
    </row>
    <row r="399" spans="4:4" ht="15.75" customHeight="1">
      <c r="D399" s="6"/>
    </row>
    <row r="400" spans="4:4" ht="15.75" customHeight="1">
      <c r="D400" s="6"/>
    </row>
    <row r="401" spans="4:4" ht="15.75" customHeight="1">
      <c r="D401" s="6"/>
    </row>
    <row r="402" spans="4:4" ht="15.75" customHeight="1">
      <c r="D402" s="6"/>
    </row>
    <row r="403" spans="4:4" ht="15.75" customHeight="1">
      <c r="D403" s="6"/>
    </row>
    <row r="404" spans="4:4" ht="15.75" customHeight="1">
      <c r="D404" s="6"/>
    </row>
    <row r="405" spans="4:4" ht="15.75" customHeight="1">
      <c r="D405" s="6"/>
    </row>
    <row r="406" spans="4:4" ht="15.75" customHeight="1">
      <c r="D406" s="6"/>
    </row>
    <row r="407" spans="4:4" ht="15.75" customHeight="1">
      <c r="D407" s="6"/>
    </row>
    <row r="408" spans="4:4" ht="15.75" customHeight="1">
      <c r="D408" s="6"/>
    </row>
    <row r="409" spans="4:4" ht="15.75" customHeight="1">
      <c r="D409" s="6"/>
    </row>
    <row r="410" spans="4:4" ht="15.75" customHeight="1">
      <c r="D410" s="6"/>
    </row>
    <row r="411" spans="4:4" ht="15.75" customHeight="1">
      <c r="D411" s="6"/>
    </row>
    <row r="412" spans="4:4" ht="15.75" customHeight="1">
      <c r="D412" s="6"/>
    </row>
    <row r="413" spans="4:4" ht="15.75" customHeight="1">
      <c r="D413" s="6"/>
    </row>
    <row r="414" spans="4:4" ht="15.75" customHeight="1">
      <c r="D414" s="6"/>
    </row>
    <row r="415" spans="4:4" ht="15.75" customHeight="1">
      <c r="D415" s="6"/>
    </row>
    <row r="416" spans="4:4" ht="15.75" customHeight="1">
      <c r="D416" s="6"/>
    </row>
    <row r="417" spans="4:4" ht="15.75" customHeight="1">
      <c r="D417" s="6"/>
    </row>
    <row r="418" spans="4:4" ht="15.75" customHeight="1">
      <c r="D418" s="6"/>
    </row>
    <row r="419" spans="4:4" ht="15.75" customHeight="1">
      <c r="D419" s="6"/>
    </row>
    <row r="420" spans="4:4" ht="15.75" customHeight="1">
      <c r="D420" s="6"/>
    </row>
    <row r="421" spans="4:4" ht="15.75" customHeight="1">
      <c r="D421" s="6"/>
    </row>
    <row r="422" spans="4:4" ht="15.75" customHeight="1">
      <c r="D422" s="6"/>
    </row>
    <row r="423" spans="4:4" ht="15.75" customHeight="1">
      <c r="D423" s="6"/>
    </row>
    <row r="424" spans="4:4" ht="15.75" customHeight="1">
      <c r="D424" s="6"/>
    </row>
    <row r="425" spans="4:4" ht="15.75" customHeight="1">
      <c r="D425" s="6"/>
    </row>
    <row r="426" spans="4:4" ht="15.75" customHeight="1">
      <c r="D426" s="6"/>
    </row>
    <row r="427" spans="4:4" ht="15.75" customHeight="1">
      <c r="D427" s="6"/>
    </row>
    <row r="428" spans="4:4" ht="15.75" customHeight="1">
      <c r="D428" s="6"/>
    </row>
    <row r="429" spans="4:4" ht="15.75" customHeight="1">
      <c r="D429" s="6"/>
    </row>
    <row r="430" spans="4:4" ht="15.75" customHeight="1">
      <c r="D430" s="6"/>
    </row>
    <row r="431" spans="4:4" ht="15.75" customHeight="1">
      <c r="D431" s="6"/>
    </row>
    <row r="432" spans="4:4" ht="15.75" customHeight="1">
      <c r="D432" s="6"/>
    </row>
    <row r="433" spans="4:4" ht="15.75" customHeight="1">
      <c r="D433" s="6"/>
    </row>
    <row r="434" spans="4:4" ht="15.75" customHeight="1">
      <c r="D434" s="6"/>
    </row>
    <row r="435" spans="4:4" ht="15.75" customHeight="1">
      <c r="D435" s="6"/>
    </row>
    <row r="436" spans="4:4" ht="15.75" customHeight="1">
      <c r="D436" s="6"/>
    </row>
    <row r="437" spans="4:4" ht="15.75" customHeight="1">
      <c r="D437" s="6"/>
    </row>
    <row r="438" spans="4:4" ht="15.75" customHeight="1">
      <c r="D438" s="6"/>
    </row>
    <row r="439" spans="4:4" ht="15.75" customHeight="1">
      <c r="D439" s="6"/>
    </row>
    <row r="440" spans="4:4" ht="15.75" customHeight="1">
      <c r="D440" s="6"/>
    </row>
    <row r="441" spans="4:4" ht="15.75" customHeight="1">
      <c r="D441" s="6"/>
    </row>
    <row r="442" spans="4:4" ht="15.75" customHeight="1">
      <c r="D442" s="6"/>
    </row>
    <row r="443" spans="4:4" ht="15.75" customHeight="1">
      <c r="D443" s="6"/>
    </row>
    <row r="444" spans="4:4" ht="15.75" customHeight="1">
      <c r="D444" s="6"/>
    </row>
    <row r="445" spans="4:4" ht="15.75" customHeight="1">
      <c r="D445" s="6"/>
    </row>
    <row r="446" spans="4:4" ht="15.75" customHeight="1">
      <c r="D446" s="6"/>
    </row>
    <row r="447" spans="4:4" ht="15.75" customHeight="1">
      <c r="D447" s="6"/>
    </row>
    <row r="448" spans="4:4" ht="15.75" customHeight="1">
      <c r="D448" s="6"/>
    </row>
    <row r="449" spans="4:4" ht="15.75" customHeight="1">
      <c r="D449" s="6"/>
    </row>
    <row r="450" spans="4:4" ht="15.75" customHeight="1">
      <c r="D450" s="6"/>
    </row>
    <row r="451" spans="4:4" ht="15.75" customHeight="1">
      <c r="D451" s="6"/>
    </row>
    <row r="452" spans="4:4" ht="15.75" customHeight="1">
      <c r="D452" s="6"/>
    </row>
    <row r="453" spans="4:4" ht="15.75" customHeight="1">
      <c r="D453" s="6"/>
    </row>
    <row r="454" spans="4:4" ht="15.75" customHeight="1">
      <c r="D454" s="6"/>
    </row>
    <row r="455" spans="4:4" ht="15.75" customHeight="1">
      <c r="D455" s="6"/>
    </row>
    <row r="456" spans="4:4" ht="15.75" customHeight="1">
      <c r="D456" s="6"/>
    </row>
    <row r="457" spans="4:4" ht="15.75" customHeight="1">
      <c r="D457" s="6"/>
    </row>
    <row r="458" spans="4:4" ht="15.75" customHeight="1">
      <c r="D458" s="6"/>
    </row>
    <row r="459" spans="4:4" ht="15.75" customHeight="1">
      <c r="D459" s="6"/>
    </row>
    <row r="460" spans="4:4" ht="15.75" customHeight="1">
      <c r="D460" s="6"/>
    </row>
    <row r="461" spans="4:4" ht="15.75" customHeight="1">
      <c r="D461" s="6"/>
    </row>
    <row r="462" spans="4:4" ht="15.75" customHeight="1">
      <c r="D462" s="6"/>
    </row>
    <row r="463" spans="4:4" ht="15.75" customHeight="1">
      <c r="D463" s="6"/>
    </row>
    <row r="464" spans="4:4" ht="15.75" customHeight="1">
      <c r="D464" s="6"/>
    </row>
    <row r="465" spans="4:4" ht="15.75" customHeight="1">
      <c r="D465" s="6"/>
    </row>
    <row r="466" spans="4:4" ht="15.75" customHeight="1">
      <c r="D466" s="6"/>
    </row>
    <row r="467" spans="4:4" ht="15.75" customHeight="1">
      <c r="D467" s="6"/>
    </row>
    <row r="468" spans="4:4" ht="15.75" customHeight="1">
      <c r="D468" s="6"/>
    </row>
    <row r="469" spans="4:4" ht="15.75" customHeight="1">
      <c r="D469" s="6"/>
    </row>
    <row r="470" spans="4:4" ht="15.75" customHeight="1">
      <c r="D470" s="6"/>
    </row>
    <row r="471" spans="4:4" ht="15.75" customHeight="1">
      <c r="D471" s="6"/>
    </row>
    <row r="472" spans="4:4" ht="15.75" customHeight="1">
      <c r="D472" s="6"/>
    </row>
    <row r="473" spans="4:4" ht="15.75" customHeight="1">
      <c r="D473" s="6"/>
    </row>
    <row r="474" spans="4:4" ht="15.75" customHeight="1">
      <c r="D474" s="6"/>
    </row>
    <row r="475" spans="4:4" ht="15.75" customHeight="1">
      <c r="D475" s="6"/>
    </row>
    <row r="476" spans="4:4" ht="15.75" customHeight="1">
      <c r="D476" s="6"/>
    </row>
    <row r="477" spans="4:4" ht="15.75" customHeight="1">
      <c r="D477" s="6"/>
    </row>
    <row r="478" spans="4:4" ht="15.75" customHeight="1">
      <c r="D478" s="6"/>
    </row>
    <row r="479" spans="4:4" ht="15.75" customHeight="1">
      <c r="D479" s="6"/>
    </row>
    <row r="480" spans="4:4" ht="15.75" customHeight="1">
      <c r="D480" s="6"/>
    </row>
    <row r="481" spans="4:4" ht="15.75" customHeight="1">
      <c r="D481" s="6"/>
    </row>
    <row r="482" spans="4:4" ht="15.75" customHeight="1">
      <c r="D482" s="6"/>
    </row>
    <row r="483" spans="4:4" ht="15.75" customHeight="1">
      <c r="D483" s="6"/>
    </row>
    <row r="484" spans="4:4" ht="15.75" customHeight="1">
      <c r="D484" s="6"/>
    </row>
    <row r="485" spans="4:4" ht="15.75" customHeight="1">
      <c r="D485" s="6"/>
    </row>
    <row r="486" spans="4:4" ht="15.75" customHeight="1">
      <c r="D486" s="6"/>
    </row>
    <row r="487" spans="4:4" ht="15.75" customHeight="1">
      <c r="D487" s="6"/>
    </row>
    <row r="488" spans="4:4" ht="15.75" customHeight="1">
      <c r="D488" s="6"/>
    </row>
    <row r="489" spans="4:4" ht="15.75" customHeight="1">
      <c r="D489" s="6"/>
    </row>
    <row r="490" spans="4:4" ht="15.75" customHeight="1">
      <c r="D490" s="6"/>
    </row>
    <row r="491" spans="4:4" ht="15.75" customHeight="1">
      <c r="D491" s="6"/>
    </row>
    <row r="492" spans="4:4" ht="15.75" customHeight="1">
      <c r="D492" s="6"/>
    </row>
    <row r="493" spans="4:4" ht="15.75" customHeight="1">
      <c r="D493" s="6"/>
    </row>
    <row r="494" spans="4:4" ht="15.75" customHeight="1">
      <c r="D494" s="6"/>
    </row>
    <row r="495" spans="4:4" ht="15.75" customHeight="1">
      <c r="D495" s="6"/>
    </row>
    <row r="496" spans="4:4" ht="15.75" customHeight="1">
      <c r="D496" s="6"/>
    </row>
    <row r="497" spans="4:4" ht="15.75" customHeight="1">
      <c r="D497" s="6"/>
    </row>
    <row r="498" spans="4:4" ht="15.75" customHeight="1">
      <c r="D498" s="6"/>
    </row>
    <row r="499" spans="4:4" ht="15.75" customHeight="1">
      <c r="D499" s="6"/>
    </row>
    <row r="500" spans="4:4" ht="15.75" customHeight="1">
      <c r="D500" s="6"/>
    </row>
    <row r="501" spans="4:4" ht="15.75" customHeight="1">
      <c r="D501" s="6"/>
    </row>
    <row r="502" spans="4:4" ht="15.75" customHeight="1">
      <c r="D502" s="6"/>
    </row>
    <row r="503" spans="4:4" ht="15.75" customHeight="1">
      <c r="D503" s="6"/>
    </row>
    <row r="504" spans="4:4" ht="15.75" customHeight="1">
      <c r="D504" s="6"/>
    </row>
    <row r="505" spans="4:4" ht="15.75" customHeight="1">
      <c r="D505" s="6"/>
    </row>
    <row r="506" spans="4:4" ht="15.75" customHeight="1">
      <c r="D506" s="6"/>
    </row>
    <row r="507" spans="4:4" ht="15.75" customHeight="1">
      <c r="D507" s="6"/>
    </row>
    <row r="508" spans="4:4" ht="15.75" customHeight="1">
      <c r="D508" s="6"/>
    </row>
    <row r="509" spans="4:4" ht="15.75" customHeight="1">
      <c r="D509" s="6"/>
    </row>
    <row r="510" spans="4:4" ht="15.75" customHeight="1">
      <c r="D510" s="6"/>
    </row>
    <row r="511" spans="4:4" ht="15.75" customHeight="1">
      <c r="D511" s="6"/>
    </row>
    <row r="512" spans="4:4" ht="15.75" customHeight="1">
      <c r="D512" s="6"/>
    </row>
    <row r="513" spans="4:4" ht="15.75" customHeight="1">
      <c r="D513" s="6"/>
    </row>
    <row r="514" spans="4:4" ht="15.75" customHeight="1">
      <c r="D514" s="6"/>
    </row>
    <row r="515" spans="4:4" ht="15.75" customHeight="1">
      <c r="D515" s="6"/>
    </row>
    <row r="516" spans="4:4" ht="15.75" customHeight="1">
      <c r="D516" s="6"/>
    </row>
    <row r="517" spans="4:4" ht="15.75" customHeight="1">
      <c r="D517" s="6"/>
    </row>
    <row r="518" spans="4:4" ht="15.75" customHeight="1">
      <c r="D518" s="6"/>
    </row>
    <row r="519" spans="4:4" ht="15.75" customHeight="1">
      <c r="D519" s="6"/>
    </row>
    <row r="520" spans="4:4" ht="15.75" customHeight="1">
      <c r="D520" s="6"/>
    </row>
    <row r="521" spans="4:4" ht="15.75" customHeight="1">
      <c r="D521" s="6"/>
    </row>
    <row r="522" spans="4:4" ht="15.75" customHeight="1">
      <c r="D522" s="6"/>
    </row>
    <row r="523" spans="4:4" ht="15.75" customHeight="1">
      <c r="D523" s="6"/>
    </row>
    <row r="524" spans="4:4" ht="15.75" customHeight="1">
      <c r="D524" s="6"/>
    </row>
    <row r="525" spans="4:4" ht="15.75" customHeight="1">
      <c r="D525" s="6"/>
    </row>
    <row r="526" spans="4:4" ht="15.75" customHeight="1">
      <c r="D526" s="6"/>
    </row>
    <row r="527" spans="4:4" ht="15.75" customHeight="1">
      <c r="D527" s="6"/>
    </row>
    <row r="528" spans="4:4" ht="15.75" customHeight="1">
      <c r="D528" s="6"/>
    </row>
    <row r="529" spans="4:4" ht="15.75" customHeight="1">
      <c r="D529" s="6"/>
    </row>
    <row r="530" spans="4:4" ht="15.75" customHeight="1">
      <c r="D530" s="6"/>
    </row>
    <row r="531" spans="4:4" ht="15.75" customHeight="1">
      <c r="D531" s="6"/>
    </row>
    <row r="532" spans="4:4" ht="15.75" customHeight="1">
      <c r="D532" s="6"/>
    </row>
    <row r="533" spans="4:4" ht="15.75" customHeight="1">
      <c r="D533" s="6"/>
    </row>
    <row r="534" spans="4:4" ht="15.75" customHeight="1">
      <c r="D534" s="6"/>
    </row>
    <row r="535" spans="4:4" ht="15.75" customHeight="1">
      <c r="D535" s="6"/>
    </row>
    <row r="536" spans="4:4" ht="15.75" customHeight="1">
      <c r="D536" s="6"/>
    </row>
    <row r="537" spans="4:4" ht="15.75" customHeight="1">
      <c r="D537" s="6"/>
    </row>
    <row r="538" spans="4:4" ht="15.75" customHeight="1">
      <c r="D538" s="6"/>
    </row>
    <row r="539" spans="4:4" ht="15.75" customHeight="1">
      <c r="D539" s="6"/>
    </row>
    <row r="540" spans="4:4" ht="15.75" customHeight="1">
      <c r="D540" s="6"/>
    </row>
    <row r="541" spans="4:4" ht="15.75" customHeight="1">
      <c r="D541" s="6"/>
    </row>
    <row r="542" spans="4:4" ht="15.75" customHeight="1">
      <c r="D542" s="6"/>
    </row>
    <row r="543" spans="4:4" ht="15.75" customHeight="1">
      <c r="D543" s="6"/>
    </row>
    <row r="544" spans="4:4" ht="15.75" customHeight="1">
      <c r="D544" s="6"/>
    </row>
    <row r="545" spans="4:4" ht="15.75" customHeight="1">
      <c r="D545" s="6"/>
    </row>
    <row r="546" spans="4:4" ht="15.75" customHeight="1">
      <c r="D546" s="6"/>
    </row>
    <row r="547" spans="4:4" ht="15.75" customHeight="1">
      <c r="D547" s="6"/>
    </row>
    <row r="548" spans="4:4" ht="15.75" customHeight="1">
      <c r="D548" s="6"/>
    </row>
    <row r="549" spans="4:4" ht="15.75" customHeight="1">
      <c r="D549" s="6"/>
    </row>
    <row r="550" spans="4:4" ht="15.75" customHeight="1">
      <c r="D550" s="6"/>
    </row>
    <row r="551" spans="4:4" ht="15.75" customHeight="1">
      <c r="D551" s="6"/>
    </row>
    <row r="552" spans="4:4" ht="15.75" customHeight="1">
      <c r="D552" s="6"/>
    </row>
    <row r="553" spans="4:4" ht="15.75" customHeight="1">
      <c r="D553" s="6"/>
    </row>
    <row r="554" spans="4:4" ht="15.75" customHeight="1">
      <c r="D554" s="6"/>
    </row>
    <row r="555" spans="4:4" ht="15.75" customHeight="1">
      <c r="D555" s="6"/>
    </row>
    <row r="556" spans="4:4" ht="15.75" customHeight="1">
      <c r="D556" s="6"/>
    </row>
    <row r="557" spans="4:4" ht="15.75" customHeight="1">
      <c r="D557" s="6"/>
    </row>
    <row r="558" spans="4:4" ht="15.75" customHeight="1">
      <c r="D558" s="6"/>
    </row>
    <row r="559" spans="4:4" ht="15.75" customHeight="1">
      <c r="D559" s="6"/>
    </row>
    <row r="560" spans="4:4" ht="15.75" customHeight="1">
      <c r="D560" s="6"/>
    </row>
    <row r="561" spans="4:4" ht="15.75" customHeight="1">
      <c r="D561" s="6"/>
    </row>
    <row r="562" spans="4:4" ht="15.75" customHeight="1">
      <c r="D562" s="6"/>
    </row>
    <row r="563" spans="4:4" ht="15.75" customHeight="1">
      <c r="D563" s="6"/>
    </row>
    <row r="564" spans="4:4" ht="15.75" customHeight="1">
      <c r="D564" s="6"/>
    </row>
    <row r="565" spans="4:4" ht="15.75" customHeight="1">
      <c r="D565" s="6"/>
    </row>
    <row r="566" spans="4:4" ht="15.75" customHeight="1">
      <c r="D566" s="6"/>
    </row>
    <row r="567" spans="4:4" ht="15.75" customHeight="1">
      <c r="D567" s="6"/>
    </row>
    <row r="568" spans="4:4" ht="15.75" customHeight="1">
      <c r="D568" s="6"/>
    </row>
    <row r="569" spans="4:4" ht="15.75" customHeight="1">
      <c r="D569" s="6"/>
    </row>
    <row r="570" spans="4:4" ht="15.75" customHeight="1">
      <c r="D570" s="6"/>
    </row>
    <row r="571" spans="4:4" ht="15.75" customHeight="1">
      <c r="D571" s="6"/>
    </row>
    <row r="572" spans="4:4" ht="15.75" customHeight="1">
      <c r="D572" s="6"/>
    </row>
    <row r="573" spans="4:4" ht="15.75" customHeight="1">
      <c r="D573" s="6"/>
    </row>
    <row r="574" spans="4:4" ht="15.75" customHeight="1">
      <c r="D574" s="6"/>
    </row>
    <row r="575" spans="4:4" ht="15.75" customHeight="1">
      <c r="D575" s="6"/>
    </row>
    <row r="576" spans="4:4" ht="15.75" customHeight="1">
      <c r="D576" s="6"/>
    </row>
    <row r="577" spans="4:4" ht="15.75" customHeight="1">
      <c r="D577" s="6"/>
    </row>
    <row r="578" spans="4:4" ht="15.75" customHeight="1">
      <c r="D578" s="6"/>
    </row>
    <row r="579" spans="4:4" ht="15.75" customHeight="1">
      <c r="D579" s="6"/>
    </row>
    <row r="580" spans="4:4" ht="15.75" customHeight="1">
      <c r="D580" s="6"/>
    </row>
    <row r="581" spans="4:4" ht="15.75" customHeight="1">
      <c r="D581" s="6"/>
    </row>
    <row r="582" spans="4:4" ht="15.75" customHeight="1">
      <c r="D582" s="6"/>
    </row>
    <row r="583" spans="4:4" ht="15.75" customHeight="1">
      <c r="D583" s="6"/>
    </row>
    <row r="584" spans="4:4" ht="15.75" customHeight="1">
      <c r="D584" s="6"/>
    </row>
    <row r="585" spans="4:4" ht="15.75" customHeight="1">
      <c r="D585" s="6"/>
    </row>
    <row r="586" spans="4:4" ht="15.75" customHeight="1">
      <c r="D586" s="6"/>
    </row>
    <row r="587" spans="4:4" ht="15.75" customHeight="1">
      <c r="D587" s="6"/>
    </row>
    <row r="588" spans="4:4" ht="15.75" customHeight="1">
      <c r="D588" s="6"/>
    </row>
    <row r="589" spans="4:4" ht="15.75" customHeight="1">
      <c r="D589" s="6"/>
    </row>
    <row r="590" spans="4:4" ht="15.75" customHeight="1">
      <c r="D590" s="6"/>
    </row>
    <row r="591" spans="4:4" ht="15.75" customHeight="1">
      <c r="D591" s="6"/>
    </row>
    <row r="592" spans="4:4" ht="15.75" customHeight="1">
      <c r="D592" s="6"/>
    </row>
    <row r="593" spans="4:4" ht="15.75" customHeight="1">
      <c r="D593" s="6"/>
    </row>
    <row r="594" spans="4:4" ht="15.75" customHeight="1">
      <c r="D594" s="6"/>
    </row>
    <row r="595" spans="4:4" ht="15.75" customHeight="1">
      <c r="D595" s="6"/>
    </row>
    <row r="596" spans="4:4" ht="15.75" customHeight="1">
      <c r="D596" s="6"/>
    </row>
    <row r="597" spans="4:4" ht="15.75" customHeight="1">
      <c r="D597" s="6"/>
    </row>
    <row r="598" spans="4:4" ht="15.75" customHeight="1">
      <c r="D598" s="6"/>
    </row>
    <row r="599" spans="4:4" ht="15.75" customHeight="1">
      <c r="D599" s="6"/>
    </row>
    <row r="600" spans="4:4" ht="15.75" customHeight="1">
      <c r="D600" s="6"/>
    </row>
    <row r="601" spans="4:4" ht="15.75" customHeight="1">
      <c r="D601" s="6"/>
    </row>
    <row r="602" spans="4:4" ht="15.75" customHeight="1">
      <c r="D602" s="6"/>
    </row>
    <row r="603" spans="4:4" ht="15.75" customHeight="1">
      <c r="D603" s="6"/>
    </row>
    <row r="604" spans="4:4" ht="15.75" customHeight="1">
      <c r="D604" s="6"/>
    </row>
    <row r="605" spans="4:4" ht="15.75" customHeight="1">
      <c r="D605" s="6"/>
    </row>
    <row r="606" spans="4:4" ht="15.75" customHeight="1">
      <c r="D606" s="6"/>
    </row>
    <row r="607" spans="4:4" ht="15.75" customHeight="1">
      <c r="D607" s="6"/>
    </row>
    <row r="608" spans="4:4" ht="15.75" customHeight="1">
      <c r="D608" s="6"/>
    </row>
    <row r="609" spans="4:4" ht="15.75" customHeight="1">
      <c r="D609" s="6"/>
    </row>
    <row r="610" spans="4:4" ht="15.75" customHeight="1">
      <c r="D610" s="6"/>
    </row>
    <row r="611" spans="4:4" ht="15.75" customHeight="1">
      <c r="D611" s="6"/>
    </row>
    <row r="612" spans="4:4" ht="15.75" customHeight="1">
      <c r="D612" s="6"/>
    </row>
    <row r="613" spans="4:4" ht="15.75" customHeight="1">
      <c r="D613" s="6"/>
    </row>
    <row r="614" spans="4:4" ht="15.75" customHeight="1">
      <c r="D614" s="6"/>
    </row>
    <row r="615" spans="4:4" ht="15.75" customHeight="1">
      <c r="D615" s="6"/>
    </row>
    <row r="616" spans="4:4" ht="15.75" customHeight="1">
      <c r="D616" s="6"/>
    </row>
    <row r="617" spans="4:4" ht="15.75" customHeight="1">
      <c r="D617" s="6"/>
    </row>
    <row r="618" spans="4:4" ht="15.75" customHeight="1">
      <c r="D618" s="6"/>
    </row>
    <row r="619" spans="4:4" ht="15.75" customHeight="1">
      <c r="D619" s="6"/>
    </row>
    <row r="620" spans="4:4" ht="15.75" customHeight="1">
      <c r="D620" s="6"/>
    </row>
    <row r="621" spans="4:4" ht="15.75" customHeight="1">
      <c r="D621" s="6"/>
    </row>
    <row r="622" spans="4:4" ht="15.75" customHeight="1">
      <c r="D622" s="6"/>
    </row>
    <row r="623" spans="4:4" ht="15.75" customHeight="1">
      <c r="D623" s="6"/>
    </row>
    <row r="624" spans="4:4" ht="15.75" customHeight="1">
      <c r="D624" s="6"/>
    </row>
    <row r="625" spans="4:4" ht="15.75" customHeight="1">
      <c r="D625" s="6"/>
    </row>
    <row r="626" spans="4:4" ht="15.75" customHeight="1">
      <c r="D626" s="6"/>
    </row>
    <row r="627" spans="4:4" ht="15.75" customHeight="1">
      <c r="D627" s="6"/>
    </row>
    <row r="628" spans="4:4" ht="15.75" customHeight="1">
      <c r="D628" s="6"/>
    </row>
    <row r="629" spans="4:4" ht="15.75" customHeight="1">
      <c r="D629" s="6"/>
    </row>
    <row r="630" spans="4:4" ht="15.75" customHeight="1">
      <c r="D630" s="6"/>
    </row>
    <row r="631" spans="4:4" ht="15.75" customHeight="1">
      <c r="D631" s="6"/>
    </row>
    <row r="632" spans="4:4" ht="15.75" customHeight="1">
      <c r="D632" s="6"/>
    </row>
    <row r="633" spans="4:4" ht="15.75" customHeight="1">
      <c r="D633" s="6"/>
    </row>
    <row r="634" spans="4:4" ht="15.75" customHeight="1">
      <c r="D634" s="6"/>
    </row>
    <row r="635" spans="4:4" ht="15.75" customHeight="1">
      <c r="D635" s="6"/>
    </row>
    <row r="636" spans="4:4" ht="15.75" customHeight="1">
      <c r="D636" s="6"/>
    </row>
    <row r="637" spans="4:4" ht="15.75" customHeight="1">
      <c r="D637" s="6"/>
    </row>
    <row r="638" spans="4:4" ht="15.75" customHeight="1">
      <c r="D638" s="6"/>
    </row>
    <row r="639" spans="4:4" ht="15.75" customHeight="1">
      <c r="D639" s="6"/>
    </row>
    <row r="640" spans="4:4" ht="15.75" customHeight="1">
      <c r="D640" s="6"/>
    </row>
    <row r="641" spans="4:4" ht="15.75" customHeight="1">
      <c r="D641" s="6"/>
    </row>
    <row r="642" spans="4:4" ht="15.75" customHeight="1">
      <c r="D642" s="6"/>
    </row>
    <row r="643" spans="4:4" ht="15.75" customHeight="1">
      <c r="D643" s="6"/>
    </row>
    <row r="644" spans="4:4" ht="15.75" customHeight="1">
      <c r="D644" s="6"/>
    </row>
    <row r="645" spans="4:4" ht="15.75" customHeight="1">
      <c r="D645" s="6"/>
    </row>
    <row r="646" spans="4:4" ht="15.75" customHeight="1">
      <c r="D646" s="6"/>
    </row>
    <row r="647" spans="4:4" ht="15.75" customHeight="1">
      <c r="D647" s="6"/>
    </row>
    <row r="648" spans="4:4" ht="15.75" customHeight="1">
      <c r="D648" s="6"/>
    </row>
    <row r="649" spans="4:4" ht="15.75" customHeight="1">
      <c r="D649" s="6"/>
    </row>
    <row r="650" spans="4:4" ht="15.75" customHeight="1">
      <c r="D650" s="6"/>
    </row>
    <row r="651" spans="4:4" ht="15.75" customHeight="1">
      <c r="D651" s="6"/>
    </row>
    <row r="652" spans="4:4" ht="15.75" customHeight="1">
      <c r="D652" s="6"/>
    </row>
    <row r="653" spans="4:4" ht="15.75" customHeight="1">
      <c r="D653" s="6"/>
    </row>
    <row r="654" spans="4:4" ht="15.75" customHeight="1">
      <c r="D654" s="6"/>
    </row>
    <row r="655" spans="4:4" ht="15.75" customHeight="1">
      <c r="D655" s="6"/>
    </row>
    <row r="656" spans="4:4" ht="15.75" customHeight="1">
      <c r="D656" s="6"/>
    </row>
    <row r="657" spans="4:4" ht="15.75" customHeight="1">
      <c r="D657" s="6"/>
    </row>
    <row r="658" spans="4:4" ht="15.75" customHeight="1">
      <c r="D658" s="6"/>
    </row>
    <row r="659" spans="4:4" ht="15.75" customHeight="1">
      <c r="D659" s="6"/>
    </row>
    <row r="660" spans="4:4" ht="15.75" customHeight="1">
      <c r="D660" s="6"/>
    </row>
    <row r="661" spans="4:4" ht="15.75" customHeight="1">
      <c r="D661" s="6"/>
    </row>
    <row r="662" spans="4:4" ht="15.75" customHeight="1">
      <c r="D662" s="6"/>
    </row>
    <row r="663" spans="4:4" ht="15.75" customHeight="1">
      <c r="D663" s="6"/>
    </row>
    <row r="664" spans="4:4" ht="15.75" customHeight="1">
      <c r="D664" s="6"/>
    </row>
    <row r="665" spans="4:4" ht="15.75" customHeight="1">
      <c r="D665" s="6"/>
    </row>
    <row r="666" spans="4:4" ht="15.75" customHeight="1">
      <c r="D666" s="6"/>
    </row>
    <row r="667" spans="4:4" ht="15.75" customHeight="1">
      <c r="D667" s="6"/>
    </row>
    <row r="668" spans="4:4" ht="15.75" customHeight="1">
      <c r="D668" s="6"/>
    </row>
    <row r="669" spans="4:4" ht="15.75" customHeight="1">
      <c r="D669" s="6"/>
    </row>
    <row r="670" spans="4:4" ht="15.75" customHeight="1">
      <c r="D670" s="6"/>
    </row>
    <row r="671" spans="4:4" ht="15.75" customHeight="1">
      <c r="D671" s="6"/>
    </row>
    <row r="672" spans="4:4" ht="15.75" customHeight="1">
      <c r="D672" s="6"/>
    </row>
    <row r="673" spans="4:4" ht="15.75" customHeight="1">
      <c r="D673" s="6"/>
    </row>
    <row r="674" spans="4:4" ht="15.75" customHeight="1">
      <c r="D674" s="6"/>
    </row>
    <row r="675" spans="4:4" ht="15.75" customHeight="1">
      <c r="D675" s="6"/>
    </row>
    <row r="676" spans="4:4" ht="15.75" customHeight="1">
      <c r="D676" s="6"/>
    </row>
    <row r="677" spans="4:4" ht="15.75" customHeight="1">
      <c r="D677" s="6"/>
    </row>
    <row r="678" spans="4:4" ht="15.75" customHeight="1">
      <c r="D678" s="6"/>
    </row>
    <row r="679" spans="4:4" ht="15.75" customHeight="1">
      <c r="D679" s="6"/>
    </row>
    <row r="680" spans="4:4" ht="15.75" customHeight="1">
      <c r="D680" s="6"/>
    </row>
    <row r="681" spans="4:4" ht="15.75" customHeight="1">
      <c r="D681" s="6"/>
    </row>
    <row r="682" spans="4:4" ht="15.75" customHeight="1">
      <c r="D682" s="6"/>
    </row>
    <row r="683" spans="4:4" ht="15.75" customHeight="1">
      <c r="D683" s="6"/>
    </row>
    <row r="684" spans="4:4" ht="15.75" customHeight="1">
      <c r="D684" s="6"/>
    </row>
    <row r="685" spans="4:4" ht="15.75" customHeight="1">
      <c r="D685" s="6"/>
    </row>
    <row r="686" spans="4:4" ht="15.75" customHeight="1">
      <c r="D686" s="6"/>
    </row>
    <row r="687" spans="4:4" ht="15.75" customHeight="1">
      <c r="D687" s="6"/>
    </row>
    <row r="688" spans="4:4" ht="15.75" customHeight="1">
      <c r="D688" s="6"/>
    </row>
    <row r="689" spans="4:4" ht="15.75" customHeight="1">
      <c r="D689" s="6"/>
    </row>
    <row r="690" spans="4:4" ht="15.75" customHeight="1">
      <c r="D690" s="6"/>
    </row>
    <row r="691" spans="4:4" ht="15.75" customHeight="1">
      <c r="D691" s="6"/>
    </row>
    <row r="692" spans="4:4" ht="15.75" customHeight="1">
      <c r="D692" s="6"/>
    </row>
    <row r="693" spans="4:4" ht="15.75" customHeight="1">
      <c r="D693" s="6"/>
    </row>
    <row r="694" spans="4:4" ht="15.75" customHeight="1">
      <c r="D694" s="6"/>
    </row>
    <row r="695" spans="4:4" ht="15.75" customHeight="1">
      <c r="D695" s="6"/>
    </row>
    <row r="696" spans="4:4" ht="15.75" customHeight="1">
      <c r="D696" s="6"/>
    </row>
    <row r="697" spans="4:4" ht="15.75" customHeight="1">
      <c r="D697" s="6"/>
    </row>
    <row r="698" spans="4:4" ht="15.75" customHeight="1">
      <c r="D698" s="6"/>
    </row>
    <row r="699" spans="4:4" ht="15.75" customHeight="1">
      <c r="D699" s="6"/>
    </row>
    <row r="700" spans="4:4" ht="15.75" customHeight="1">
      <c r="D700" s="6"/>
    </row>
    <row r="701" spans="4:4" ht="15.75" customHeight="1">
      <c r="D701" s="6"/>
    </row>
    <row r="702" spans="4:4" ht="15.75" customHeight="1">
      <c r="D702" s="6"/>
    </row>
    <row r="703" spans="4:4" ht="15.75" customHeight="1">
      <c r="D703" s="6"/>
    </row>
    <row r="704" spans="4:4" ht="15.75" customHeight="1">
      <c r="D704" s="6"/>
    </row>
    <row r="705" spans="4:4" ht="15.75" customHeight="1">
      <c r="D705" s="6"/>
    </row>
    <row r="706" spans="4:4" ht="15.75" customHeight="1">
      <c r="D706" s="6"/>
    </row>
    <row r="707" spans="4:4" ht="15.75" customHeight="1">
      <c r="D707" s="6"/>
    </row>
    <row r="708" spans="4:4" ht="15.75" customHeight="1">
      <c r="D708" s="6"/>
    </row>
    <row r="709" spans="4:4" ht="15.75" customHeight="1">
      <c r="D709" s="6"/>
    </row>
    <row r="710" spans="4:4" ht="15.75" customHeight="1">
      <c r="D710" s="6"/>
    </row>
    <row r="711" spans="4:4" ht="15.75" customHeight="1">
      <c r="D711" s="6"/>
    </row>
    <row r="712" spans="4:4" ht="15.75" customHeight="1">
      <c r="D712" s="6"/>
    </row>
    <row r="713" spans="4:4" ht="15.75" customHeight="1">
      <c r="D713" s="6"/>
    </row>
    <row r="714" spans="4:4" ht="15.75" customHeight="1">
      <c r="D714" s="6"/>
    </row>
    <row r="715" spans="4:4" ht="15.75" customHeight="1">
      <c r="D715" s="6"/>
    </row>
    <row r="716" spans="4:4" ht="15.75" customHeight="1">
      <c r="D716" s="6"/>
    </row>
    <row r="717" spans="4:4" ht="15.75" customHeight="1">
      <c r="D717" s="6"/>
    </row>
    <row r="718" spans="4:4" ht="15.75" customHeight="1">
      <c r="D718" s="6"/>
    </row>
    <row r="719" spans="4:4" ht="15.75" customHeight="1">
      <c r="D719" s="6"/>
    </row>
    <row r="720" spans="4:4" ht="15.75" customHeight="1">
      <c r="D720" s="6"/>
    </row>
    <row r="721" spans="4:4" ht="15.75" customHeight="1">
      <c r="D721" s="6"/>
    </row>
    <row r="722" spans="4:4" ht="15.75" customHeight="1">
      <c r="D722" s="6"/>
    </row>
    <row r="723" spans="4:4" ht="15.75" customHeight="1">
      <c r="D723" s="6"/>
    </row>
    <row r="724" spans="4:4" ht="15.75" customHeight="1">
      <c r="D724" s="6"/>
    </row>
    <row r="725" spans="4:4" ht="15.75" customHeight="1">
      <c r="D725" s="6"/>
    </row>
    <row r="726" spans="4:4" ht="15.75" customHeight="1">
      <c r="D726" s="6"/>
    </row>
    <row r="727" spans="4:4" ht="15.75" customHeight="1">
      <c r="D727" s="6"/>
    </row>
    <row r="728" spans="4:4" ht="15.75" customHeight="1">
      <c r="D728" s="6"/>
    </row>
    <row r="729" spans="4:4" ht="15.75" customHeight="1">
      <c r="D729" s="6"/>
    </row>
    <row r="730" spans="4:4" ht="15.75" customHeight="1">
      <c r="D730" s="6"/>
    </row>
    <row r="731" spans="4:4" ht="15.75" customHeight="1">
      <c r="D731" s="6"/>
    </row>
    <row r="732" spans="4:4" ht="15.75" customHeight="1">
      <c r="D732" s="6"/>
    </row>
    <row r="733" spans="4:4" ht="15.75" customHeight="1">
      <c r="D733" s="6"/>
    </row>
    <row r="734" spans="4:4" ht="15.75" customHeight="1">
      <c r="D734" s="6"/>
    </row>
    <row r="735" spans="4:4" ht="15.75" customHeight="1">
      <c r="D735" s="6"/>
    </row>
    <row r="736" spans="4:4" ht="15.75" customHeight="1">
      <c r="D736" s="6"/>
    </row>
    <row r="737" spans="4:4" ht="15.75" customHeight="1">
      <c r="D737" s="6"/>
    </row>
    <row r="738" spans="4:4" ht="15.75" customHeight="1">
      <c r="D738" s="6"/>
    </row>
    <row r="739" spans="4:4" ht="15.75" customHeight="1">
      <c r="D739" s="6"/>
    </row>
    <row r="740" spans="4:4" ht="15.75" customHeight="1">
      <c r="D740" s="6"/>
    </row>
    <row r="741" spans="4:4" ht="15.75" customHeight="1">
      <c r="D741" s="6"/>
    </row>
    <row r="742" spans="4:4" ht="15.75" customHeight="1">
      <c r="D742" s="6"/>
    </row>
    <row r="743" spans="4:4" ht="15.75" customHeight="1">
      <c r="D743" s="6"/>
    </row>
    <row r="744" spans="4:4" ht="15.75" customHeight="1">
      <c r="D744" s="6"/>
    </row>
    <row r="745" spans="4:4" ht="15.75" customHeight="1">
      <c r="D745" s="6"/>
    </row>
    <row r="746" spans="4:4" ht="15.75" customHeight="1">
      <c r="D746" s="6"/>
    </row>
    <row r="747" spans="4:4" ht="15.75" customHeight="1">
      <c r="D747" s="6"/>
    </row>
    <row r="748" spans="4:4" ht="15.75" customHeight="1">
      <c r="D748" s="6"/>
    </row>
    <row r="749" spans="4:4" ht="15.75" customHeight="1">
      <c r="D749" s="6"/>
    </row>
    <row r="750" spans="4:4" ht="15.75" customHeight="1">
      <c r="D750" s="6"/>
    </row>
    <row r="751" spans="4:4" ht="15.75" customHeight="1">
      <c r="D751" s="6"/>
    </row>
    <row r="752" spans="4:4" ht="15.75" customHeight="1">
      <c r="D752" s="6"/>
    </row>
    <row r="753" spans="4:4" ht="15.75" customHeight="1">
      <c r="D753" s="6"/>
    </row>
    <row r="754" spans="4:4" ht="15.75" customHeight="1">
      <c r="D754" s="6"/>
    </row>
    <row r="755" spans="4:4" ht="15.75" customHeight="1">
      <c r="D755" s="6"/>
    </row>
    <row r="756" spans="4:4" ht="15.75" customHeight="1">
      <c r="D756" s="6"/>
    </row>
    <row r="757" spans="4:4" ht="15.75" customHeight="1">
      <c r="D757" s="6"/>
    </row>
    <row r="758" spans="4:4" ht="15.75" customHeight="1">
      <c r="D758" s="6"/>
    </row>
    <row r="759" spans="4:4" ht="15.75" customHeight="1">
      <c r="D759" s="6"/>
    </row>
    <row r="760" spans="4:4" ht="15.75" customHeight="1">
      <c r="D760" s="6"/>
    </row>
    <row r="761" spans="4:4" ht="15.75" customHeight="1">
      <c r="D761" s="6"/>
    </row>
    <row r="762" spans="4:4" ht="15.75" customHeight="1">
      <c r="D762" s="6"/>
    </row>
    <row r="763" spans="4:4" ht="15.75" customHeight="1">
      <c r="D763" s="6"/>
    </row>
    <row r="764" spans="4:4" ht="15.75" customHeight="1">
      <c r="D764" s="6"/>
    </row>
    <row r="765" spans="4:4" ht="15.75" customHeight="1">
      <c r="D765" s="6"/>
    </row>
    <row r="766" spans="4:4" ht="15.75" customHeight="1">
      <c r="D766" s="6"/>
    </row>
    <row r="767" spans="4:4" ht="15.75" customHeight="1">
      <c r="D767" s="6"/>
    </row>
    <row r="768" spans="4:4" ht="15.75" customHeight="1">
      <c r="D768" s="6"/>
    </row>
    <row r="769" spans="4:4" ht="15.75" customHeight="1">
      <c r="D769" s="6"/>
    </row>
    <row r="770" spans="4:4" ht="15.75" customHeight="1">
      <c r="D770" s="6"/>
    </row>
    <row r="771" spans="4:4" ht="15.75" customHeight="1">
      <c r="D771" s="6"/>
    </row>
    <row r="772" spans="4:4" ht="15.75" customHeight="1">
      <c r="D772" s="6"/>
    </row>
    <row r="773" spans="4:4" ht="15.75" customHeight="1">
      <c r="D773" s="6"/>
    </row>
    <row r="774" spans="4:4" ht="15.75" customHeight="1">
      <c r="D774" s="6"/>
    </row>
    <row r="775" spans="4:4" ht="15.75" customHeight="1">
      <c r="D775" s="6"/>
    </row>
    <row r="776" spans="4:4" ht="15.75" customHeight="1">
      <c r="D776" s="6"/>
    </row>
    <row r="777" spans="4:4" ht="15.75" customHeight="1">
      <c r="D777" s="6"/>
    </row>
    <row r="778" spans="4:4" ht="15.75" customHeight="1">
      <c r="D778" s="6"/>
    </row>
    <row r="779" spans="4:4" ht="15.75" customHeight="1">
      <c r="D779" s="6"/>
    </row>
    <row r="780" spans="4:4" ht="15.75" customHeight="1">
      <c r="D780" s="6"/>
    </row>
    <row r="781" spans="4:4" ht="15.75" customHeight="1">
      <c r="D781" s="6"/>
    </row>
    <row r="782" spans="4:4" ht="15.75" customHeight="1">
      <c r="D782" s="6"/>
    </row>
    <row r="783" spans="4:4" ht="15.75" customHeight="1">
      <c r="D783" s="6"/>
    </row>
    <row r="784" spans="4:4" ht="15.75" customHeight="1">
      <c r="D784" s="6"/>
    </row>
    <row r="785" spans="4:4" ht="15.75" customHeight="1">
      <c r="D785" s="6"/>
    </row>
    <row r="786" spans="4:4" ht="15.75" customHeight="1">
      <c r="D786" s="6"/>
    </row>
    <row r="787" spans="4:4" ht="15.75" customHeight="1">
      <c r="D787" s="6"/>
    </row>
    <row r="788" spans="4:4" ht="15.75" customHeight="1">
      <c r="D788" s="6"/>
    </row>
    <row r="789" spans="4:4" ht="15.75" customHeight="1">
      <c r="D789" s="6"/>
    </row>
    <row r="790" spans="4:4" ht="15.75" customHeight="1">
      <c r="D790" s="6"/>
    </row>
    <row r="791" spans="4:4" ht="15.75" customHeight="1">
      <c r="D791" s="6"/>
    </row>
    <row r="792" spans="4:4" ht="15.75" customHeight="1">
      <c r="D792" s="6"/>
    </row>
    <row r="793" spans="4:4" ht="15.75" customHeight="1">
      <c r="D793" s="6"/>
    </row>
    <row r="794" spans="4:4" ht="15.75" customHeight="1">
      <c r="D794" s="6"/>
    </row>
    <row r="795" spans="4:4" ht="15.75" customHeight="1">
      <c r="D795" s="6"/>
    </row>
    <row r="796" spans="4:4" ht="15.75" customHeight="1">
      <c r="D796" s="6"/>
    </row>
    <row r="797" spans="4:4" ht="15.75" customHeight="1">
      <c r="D797" s="6"/>
    </row>
    <row r="798" spans="4:4" ht="15.75" customHeight="1">
      <c r="D798" s="6"/>
    </row>
    <row r="799" spans="4:4" ht="15.75" customHeight="1">
      <c r="D799" s="6"/>
    </row>
    <row r="800" spans="4:4" ht="15.75" customHeight="1">
      <c r="D800" s="6"/>
    </row>
    <row r="801" spans="4:4" ht="15.75" customHeight="1">
      <c r="D801" s="6"/>
    </row>
    <row r="802" spans="4:4" ht="15.75" customHeight="1">
      <c r="D802" s="6"/>
    </row>
    <row r="803" spans="4:4" ht="15.75" customHeight="1">
      <c r="D803" s="6"/>
    </row>
    <row r="804" spans="4:4" ht="15.75" customHeight="1">
      <c r="D804" s="6"/>
    </row>
    <row r="805" spans="4:4" ht="15.75" customHeight="1">
      <c r="D805" s="6"/>
    </row>
    <row r="806" spans="4:4" ht="15.75" customHeight="1">
      <c r="D806" s="6"/>
    </row>
    <row r="807" spans="4:4" ht="15.75" customHeight="1">
      <c r="D807" s="6"/>
    </row>
    <row r="808" spans="4:4" ht="15.75" customHeight="1">
      <c r="D808" s="6"/>
    </row>
    <row r="809" spans="4:4" ht="15.75" customHeight="1">
      <c r="D809" s="6"/>
    </row>
    <row r="810" spans="4:4" ht="15.75" customHeight="1">
      <c r="D810" s="6"/>
    </row>
    <row r="811" spans="4:4" ht="15.75" customHeight="1">
      <c r="D811" s="6"/>
    </row>
    <row r="812" spans="4:4" ht="15.75" customHeight="1">
      <c r="D812" s="6"/>
    </row>
    <row r="813" spans="4:4" ht="15.75" customHeight="1">
      <c r="D813" s="6"/>
    </row>
    <row r="814" spans="4:4" ht="15.75" customHeight="1">
      <c r="D814" s="6"/>
    </row>
    <row r="815" spans="4:4" ht="15.75" customHeight="1">
      <c r="D815" s="6"/>
    </row>
    <row r="816" spans="4:4" ht="15.75" customHeight="1">
      <c r="D816" s="6"/>
    </row>
    <row r="817" spans="4:4" ht="15.75" customHeight="1">
      <c r="D817" s="6"/>
    </row>
    <row r="818" spans="4:4" ht="15.75" customHeight="1">
      <c r="D818" s="6"/>
    </row>
    <row r="819" spans="4:4" ht="15.75" customHeight="1">
      <c r="D819" s="6"/>
    </row>
    <row r="820" spans="4:4" ht="15.75" customHeight="1">
      <c r="D820" s="6"/>
    </row>
    <row r="821" spans="4:4" ht="15.75" customHeight="1">
      <c r="D821" s="6"/>
    </row>
    <row r="822" spans="4:4" ht="15.75" customHeight="1">
      <c r="D822" s="6"/>
    </row>
    <row r="823" spans="4:4" ht="15.75" customHeight="1">
      <c r="D823" s="6"/>
    </row>
    <row r="824" spans="4:4" ht="15.75" customHeight="1">
      <c r="D824" s="6"/>
    </row>
    <row r="825" spans="4:4" ht="15.75" customHeight="1">
      <c r="D825" s="6"/>
    </row>
    <row r="826" spans="4:4" ht="15.75" customHeight="1">
      <c r="D826" s="6"/>
    </row>
    <row r="827" spans="4:4" ht="15.75" customHeight="1">
      <c r="D827" s="6"/>
    </row>
    <row r="828" spans="4:4" ht="15.75" customHeight="1">
      <c r="D828" s="6"/>
    </row>
    <row r="829" spans="4:4" ht="15.75" customHeight="1">
      <c r="D829" s="6"/>
    </row>
    <row r="830" spans="4:4" ht="15.75" customHeight="1">
      <c r="D830" s="6"/>
    </row>
    <row r="831" spans="4:4" ht="15.75" customHeight="1">
      <c r="D831" s="6"/>
    </row>
    <row r="832" spans="4:4" ht="15.75" customHeight="1">
      <c r="D832" s="6"/>
    </row>
    <row r="833" spans="4:4" ht="15.75" customHeight="1">
      <c r="D833" s="6"/>
    </row>
    <row r="834" spans="4:4" ht="15.75" customHeight="1">
      <c r="D834" s="6"/>
    </row>
    <row r="835" spans="4:4" ht="15.75" customHeight="1">
      <c r="D835" s="6"/>
    </row>
    <row r="836" spans="4:4" ht="15.75" customHeight="1">
      <c r="D836" s="6"/>
    </row>
    <row r="837" spans="4:4" ht="15.75" customHeight="1">
      <c r="D837" s="6"/>
    </row>
    <row r="838" spans="4:4" ht="15.75" customHeight="1">
      <c r="D838" s="6"/>
    </row>
    <row r="839" spans="4:4" ht="15.75" customHeight="1">
      <c r="D839" s="6"/>
    </row>
    <row r="840" spans="4:4" ht="15.75" customHeight="1">
      <c r="D840" s="6"/>
    </row>
    <row r="841" spans="4:4" ht="15.75" customHeight="1">
      <c r="D841" s="6"/>
    </row>
    <row r="842" spans="4:4" ht="15.75" customHeight="1">
      <c r="D842" s="6"/>
    </row>
    <row r="843" spans="4:4" ht="15.75" customHeight="1">
      <c r="D843" s="6"/>
    </row>
    <row r="844" spans="4:4" ht="15.75" customHeight="1">
      <c r="D844" s="6"/>
    </row>
    <row r="845" spans="4:4" ht="15.75" customHeight="1">
      <c r="D845" s="6"/>
    </row>
    <row r="846" spans="4:4" ht="15.75" customHeight="1">
      <c r="D846" s="6"/>
    </row>
    <row r="847" spans="4:4" ht="15.75" customHeight="1">
      <c r="D847" s="6"/>
    </row>
    <row r="848" spans="4:4" ht="15.75" customHeight="1">
      <c r="D848" s="6"/>
    </row>
    <row r="849" spans="4:4" ht="15.75" customHeight="1">
      <c r="D849" s="6"/>
    </row>
    <row r="850" spans="4:4" ht="15.75" customHeight="1">
      <c r="D850" s="6"/>
    </row>
    <row r="851" spans="4:4" ht="15.75" customHeight="1">
      <c r="D851" s="6"/>
    </row>
    <row r="852" spans="4:4" ht="15.75" customHeight="1">
      <c r="D852" s="6"/>
    </row>
    <row r="853" spans="4:4" ht="15.75" customHeight="1">
      <c r="D853" s="6"/>
    </row>
    <row r="854" spans="4:4" ht="15.75" customHeight="1">
      <c r="D854" s="6"/>
    </row>
    <row r="855" spans="4:4" ht="15.75" customHeight="1">
      <c r="D855" s="6"/>
    </row>
    <row r="856" spans="4:4" ht="15.75" customHeight="1">
      <c r="D856" s="6"/>
    </row>
    <row r="857" spans="4:4" ht="15.75" customHeight="1">
      <c r="D857" s="6"/>
    </row>
    <row r="858" spans="4:4" ht="15.75" customHeight="1">
      <c r="D858" s="6"/>
    </row>
    <row r="859" spans="4:4" ht="15.75" customHeight="1">
      <c r="D859" s="6"/>
    </row>
    <row r="860" spans="4:4" ht="15.75" customHeight="1">
      <c r="D860" s="6"/>
    </row>
    <row r="861" spans="4:4" ht="15.75" customHeight="1">
      <c r="D861" s="6"/>
    </row>
    <row r="862" spans="4:4" ht="15.75" customHeight="1">
      <c r="D862" s="6"/>
    </row>
    <row r="863" spans="4:4" ht="15.75" customHeight="1">
      <c r="D863" s="6"/>
    </row>
    <row r="864" spans="4:4" ht="15.75" customHeight="1">
      <c r="D864" s="6"/>
    </row>
    <row r="865" spans="4:4" ht="15.75" customHeight="1">
      <c r="D865" s="6"/>
    </row>
    <row r="866" spans="4:4" ht="15.75" customHeight="1">
      <c r="D866" s="6"/>
    </row>
    <row r="867" spans="4:4" ht="15.75" customHeight="1">
      <c r="D867" s="6"/>
    </row>
    <row r="868" spans="4:4" ht="15.75" customHeight="1">
      <c r="D868" s="6"/>
    </row>
    <row r="869" spans="4:4" ht="15.75" customHeight="1">
      <c r="D869" s="6"/>
    </row>
    <row r="870" spans="4:4" ht="15.75" customHeight="1">
      <c r="D870" s="6"/>
    </row>
    <row r="871" spans="4:4" ht="15.75" customHeight="1">
      <c r="D871" s="6"/>
    </row>
    <row r="872" spans="4:4" ht="15.75" customHeight="1">
      <c r="D872" s="6"/>
    </row>
    <row r="873" spans="4:4" ht="15.75" customHeight="1">
      <c r="D873" s="6"/>
    </row>
    <row r="874" spans="4:4" ht="15.75" customHeight="1">
      <c r="D874" s="6"/>
    </row>
    <row r="875" spans="4:4" ht="15.75" customHeight="1">
      <c r="D875" s="6"/>
    </row>
    <row r="876" spans="4:4" ht="15.75" customHeight="1">
      <c r="D876" s="6"/>
    </row>
    <row r="877" spans="4:4" ht="15.75" customHeight="1">
      <c r="D877" s="6"/>
    </row>
    <row r="878" spans="4:4" ht="15.75" customHeight="1">
      <c r="D878" s="6"/>
    </row>
    <row r="879" spans="4:4" ht="15.75" customHeight="1">
      <c r="D879" s="6"/>
    </row>
    <row r="880" spans="4:4" ht="15.75" customHeight="1">
      <c r="D880" s="6"/>
    </row>
    <row r="881" spans="4:4" ht="15.75" customHeight="1">
      <c r="D881" s="6"/>
    </row>
    <row r="882" spans="4:4" ht="15.75" customHeight="1">
      <c r="D882" s="6"/>
    </row>
    <row r="883" spans="4:4" ht="15.75" customHeight="1">
      <c r="D883" s="6"/>
    </row>
    <row r="884" spans="4:4" ht="15.75" customHeight="1">
      <c r="D884" s="6"/>
    </row>
    <row r="885" spans="4:4" ht="15.75" customHeight="1">
      <c r="D885" s="6"/>
    </row>
    <row r="886" spans="4:4" ht="15.75" customHeight="1">
      <c r="D886" s="6"/>
    </row>
    <row r="887" spans="4:4" ht="15.75" customHeight="1">
      <c r="D887" s="6"/>
    </row>
    <row r="888" spans="4:4" ht="15.75" customHeight="1">
      <c r="D888" s="6"/>
    </row>
    <row r="889" spans="4:4" ht="15.75" customHeight="1">
      <c r="D889" s="6"/>
    </row>
    <row r="890" spans="4:4" ht="15.75" customHeight="1">
      <c r="D890" s="6"/>
    </row>
    <row r="891" spans="4:4" ht="15.75" customHeight="1">
      <c r="D891" s="6"/>
    </row>
    <row r="892" spans="4:4" ht="15.75" customHeight="1">
      <c r="D892" s="6"/>
    </row>
    <row r="893" spans="4:4" ht="15.75" customHeight="1">
      <c r="D893" s="6"/>
    </row>
    <row r="894" spans="4:4" ht="15.75" customHeight="1">
      <c r="D894" s="6"/>
    </row>
    <row r="895" spans="4:4" ht="15.75" customHeight="1">
      <c r="D895" s="6"/>
    </row>
    <row r="896" spans="4:4" ht="15.75" customHeight="1">
      <c r="D896" s="6"/>
    </row>
    <row r="897" spans="4:4" ht="15.75" customHeight="1">
      <c r="D897" s="6"/>
    </row>
    <row r="898" spans="4:4" ht="15.75" customHeight="1">
      <c r="D898" s="6"/>
    </row>
    <row r="899" spans="4:4" ht="15.75" customHeight="1">
      <c r="D899" s="6"/>
    </row>
    <row r="900" spans="4:4" ht="15.75" customHeight="1">
      <c r="D900" s="6"/>
    </row>
    <row r="901" spans="4:4" ht="15.75" customHeight="1">
      <c r="D901" s="6"/>
    </row>
    <row r="902" spans="4:4" ht="15.75" customHeight="1">
      <c r="D902" s="6"/>
    </row>
    <row r="903" spans="4:4" ht="15.75" customHeight="1">
      <c r="D903" s="6"/>
    </row>
    <row r="904" spans="4:4" ht="15.75" customHeight="1">
      <c r="D904" s="6"/>
    </row>
    <row r="905" spans="4:4" ht="15.75" customHeight="1">
      <c r="D905" s="6"/>
    </row>
    <row r="906" spans="4:4" ht="15.75" customHeight="1">
      <c r="D906" s="6"/>
    </row>
    <row r="907" spans="4:4" ht="15.75" customHeight="1">
      <c r="D907" s="6"/>
    </row>
    <row r="908" spans="4:4" ht="15.75" customHeight="1">
      <c r="D908" s="6"/>
    </row>
    <row r="909" spans="4:4" ht="15.75" customHeight="1">
      <c r="D909" s="6"/>
    </row>
    <row r="910" spans="4:4" ht="15.75" customHeight="1">
      <c r="D910" s="6"/>
    </row>
    <row r="911" spans="4:4" ht="15.75" customHeight="1">
      <c r="D911" s="6"/>
    </row>
    <row r="912" spans="4:4" ht="15.75" customHeight="1">
      <c r="D912" s="6"/>
    </row>
    <row r="913" spans="4:4" ht="15.75" customHeight="1">
      <c r="D913" s="6"/>
    </row>
    <row r="914" spans="4:4" ht="15.75" customHeight="1">
      <c r="D914" s="6"/>
    </row>
    <row r="915" spans="4:4" ht="15.75" customHeight="1">
      <c r="D915" s="6"/>
    </row>
    <row r="916" spans="4:4" ht="15.75" customHeight="1">
      <c r="D916" s="6"/>
    </row>
    <row r="917" spans="4:4" ht="15.75" customHeight="1">
      <c r="D917" s="6"/>
    </row>
    <row r="918" spans="4:4" ht="15.75" customHeight="1">
      <c r="D918" s="6"/>
    </row>
    <row r="919" spans="4:4" ht="15.75" customHeight="1">
      <c r="D919" s="6"/>
    </row>
    <row r="920" spans="4:4" ht="15.75" customHeight="1">
      <c r="D920" s="6"/>
    </row>
    <row r="921" spans="4:4" ht="15.75" customHeight="1">
      <c r="D921" s="6"/>
    </row>
    <row r="922" spans="4:4" ht="15.75" customHeight="1">
      <c r="D922" s="6"/>
    </row>
    <row r="923" spans="4:4" ht="15.75" customHeight="1">
      <c r="D923" s="6"/>
    </row>
    <row r="924" spans="4:4" ht="15.75" customHeight="1">
      <c r="D924" s="6"/>
    </row>
    <row r="925" spans="4:4" ht="15.75" customHeight="1">
      <c r="D925" s="6"/>
    </row>
    <row r="926" spans="4:4" ht="15.75" customHeight="1">
      <c r="D926" s="6"/>
    </row>
    <row r="927" spans="4:4" ht="15.75" customHeight="1">
      <c r="D927" s="6"/>
    </row>
    <row r="928" spans="4:4" ht="15.75" customHeight="1">
      <c r="D928" s="6"/>
    </row>
    <row r="929" spans="4:4" ht="15.75" customHeight="1">
      <c r="D929" s="6"/>
    </row>
    <row r="930" spans="4:4" ht="15.75" customHeight="1">
      <c r="D930" s="6"/>
    </row>
    <row r="931" spans="4:4" ht="15.75" customHeight="1">
      <c r="D931" s="6"/>
    </row>
    <row r="932" spans="4:4" ht="15.75" customHeight="1">
      <c r="D932" s="6"/>
    </row>
    <row r="933" spans="4:4" ht="15.75" customHeight="1">
      <c r="D933" s="6"/>
    </row>
    <row r="934" spans="4:4" ht="15.75" customHeight="1">
      <c r="D934" s="6"/>
    </row>
    <row r="935" spans="4:4" ht="15.75" customHeight="1">
      <c r="D935" s="6"/>
    </row>
    <row r="936" spans="4:4" ht="15.75" customHeight="1">
      <c r="D936" s="6"/>
    </row>
    <row r="937" spans="4:4" ht="15.75" customHeight="1">
      <c r="D937" s="6"/>
    </row>
    <row r="938" spans="4:4" ht="15.75" customHeight="1">
      <c r="D938" s="6"/>
    </row>
    <row r="939" spans="4:4" ht="15.75" customHeight="1">
      <c r="D939" s="6"/>
    </row>
    <row r="940" spans="4:4" ht="15.75" customHeight="1">
      <c r="D940" s="6"/>
    </row>
    <row r="941" spans="4:4" ht="15.75" customHeight="1">
      <c r="D941" s="6"/>
    </row>
    <row r="942" spans="4:4" ht="15.75" customHeight="1">
      <c r="D942" s="6"/>
    </row>
    <row r="943" spans="4:4" ht="15.75" customHeight="1">
      <c r="D943" s="6"/>
    </row>
    <row r="944" spans="4:4" ht="15.75" customHeight="1">
      <c r="D944" s="6"/>
    </row>
    <row r="945" spans="4:4" ht="15.75" customHeight="1">
      <c r="D945" s="6"/>
    </row>
    <row r="946" spans="4:4" ht="15.75" customHeight="1">
      <c r="D946" s="6"/>
    </row>
    <row r="947" spans="4:4" ht="15.75" customHeight="1">
      <c r="D947" s="6"/>
    </row>
    <row r="948" spans="4:4" ht="15.75" customHeight="1">
      <c r="D948" s="6"/>
    </row>
    <row r="949" spans="4:4" ht="15.75" customHeight="1">
      <c r="D949" s="6"/>
    </row>
    <row r="950" spans="4:4" ht="15.75" customHeight="1">
      <c r="D950" s="6"/>
    </row>
    <row r="951" spans="4:4" ht="15.75" customHeight="1">
      <c r="D951" s="6"/>
    </row>
    <row r="952" spans="4:4" ht="15.75" customHeight="1">
      <c r="D952" s="6"/>
    </row>
    <row r="953" spans="4:4" ht="15.75" customHeight="1">
      <c r="D953" s="6"/>
    </row>
    <row r="954" spans="4:4" ht="15.75" customHeight="1">
      <c r="D954" s="6"/>
    </row>
    <row r="955" spans="4:4" ht="15.75" customHeight="1">
      <c r="D955" s="6"/>
    </row>
    <row r="956" spans="4:4" ht="15.75" customHeight="1">
      <c r="D956" s="6"/>
    </row>
    <row r="957" spans="4:4" ht="15.75" customHeight="1">
      <c r="D957" s="6"/>
    </row>
    <row r="958" spans="4:4" ht="15.75" customHeight="1">
      <c r="D958" s="6"/>
    </row>
    <row r="959" spans="4:4" ht="15.75" customHeight="1">
      <c r="D959" s="6"/>
    </row>
    <row r="960" spans="4:4" ht="15.75" customHeight="1">
      <c r="D960" s="6"/>
    </row>
    <row r="961" spans="4:4" ht="15.75" customHeight="1">
      <c r="D961" s="6"/>
    </row>
    <row r="962" spans="4:4" ht="15.75" customHeight="1">
      <c r="D962" s="6"/>
    </row>
    <row r="963" spans="4:4" ht="15.75" customHeight="1">
      <c r="D963" s="6"/>
    </row>
    <row r="964" spans="4:4" ht="15.75" customHeight="1">
      <c r="D964" s="6"/>
    </row>
    <row r="965" spans="4:4" ht="15.75" customHeight="1">
      <c r="D965" s="6"/>
    </row>
    <row r="966" spans="4:4" ht="15.75" customHeight="1">
      <c r="D966" s="6"/>
    </row>
    <row r="967" spans="4:4" ht="15.75" customHeight="1">
      <c r="D967" s="6"/>
    </row>
    <row r="968" spans="4:4" ht="15.75" customHeight="1">
      <c r="D968" s="6"/>
    </row>
    <row r="969" spans="4:4" ht="15.75" customHeight="1">
      <c r="D969" s="6"/>
    </row>
    <row r="970" spans="4:4" ht="15.75" customHeight="1">
      <c r="D970" s="6"/>
    </row>
    <row r="971" spans="4:4" ht="15.75" customHeight="1">
      <c r="D971" s="6"/>
    </row>
    <row r="972" spans="4:4" ht="15.75" customHeight="1">
      <c r="D972" s="6"/>
    </row>
    <row r="973" spans="4:4" ht="15.75" customHeight="1">
      <c r="D973" s="6"/>
    </row>
    <row r="974" spans="4:4" ht="15.75" customHeight="1">
      <c r="D974" s="6"/>
    </row>
    <row r="975" spans="4:4" ht="15.75" customHeight="1">
      <c r="D975" s="6"/>
    </row>
    <row r="976" spans="4:4" ht="15.75" customHeight="1">
      <c r="D976" s="6"/>
    </row>
    <row r="977" spans="4:4" ht="15.75" customHeight="1">
      <c r="D977" s="6"/>
    </row>
    <row r="978" spans="4:4" ht="15.75" customHeight="1">
      <c r="D978" s="6"/>
    </row>
    <row r="979" spans="4:4" ht="15.75" customHeight="1">
      <c r="D979" s="6"/>
    </row>
    <row r="980" spans="4:4" ht="15.75" customHeight="1">
      <c r="D980" s="6"/>
    </row>
    <row r="981" spans="4:4" ht="15.75" customHeight="1">
      <c r="D981" s="6"/>
    </row>
    <row r="982" spans="4:4" ht="15.75" customHeight="1">
      <c r="D982" s="6"/>
    </row>
    <row r="983" spans="4:4" ht="15.75" customHeight="1">
      <c r="D983" s="6"/>
    </row>
    <row r="984" spans="4:4" ht="15.75" customHeight="1">
      <c r="D984" s="6"/>
    </row>
    <row r="985" spans="4:4" ht="15.75" customHeight="1">
      <c r="D985" s="6"/>
    </row>
    <row r="986" spans="4:4" ht="15.75" customHeight="1">
      <c r="D986" s="6"/>
    </row>
    <row r="987" spans="4:4" ht="15.75" customHeight="1">
      <c r="D987" s="6"/>
    </row>
    <row r="988" spans="4:4" ht="15.75" customHeight="1">
      <c r="D988" s="6"/>
    </row>
    <row r="989" spans="4:4" ht="15.75" customHeight="1">
      <c r="D989" s="6"/>
    </row>
    <row r="990" spans="4:4" ht="15.75" customHeight="1">
      <c r="D990" s="6"/>
    </row>
    <row r="991" spans="4:4" ht="15.75" customHeight="1">
      <c r="D991" s="6"/>
    </row>
    <row r="992" spans="4:4" ht="15.75" customHeight="1">
      <c r="D992" s="6"/>
    </row>
    <row r="993" spans="4:4" ht="15.75" customHeight="1">
      <c r="D993" s="6"/>
    </row>
    <row r="994" spans="4:4" ht="15.75" customHeight="1">
      <c r="D994" s="6"/>
    </row>
    <row r="995" spans="4:4" ht="15.75" customHeight="1">
      <c r="D995" s="6"/>
    </row>
    <row r="996" spans="4:4" ht="15.75" customHeight="1">
      <c r="D996" s="6"/>
    </row>
    <row r="997" spans="4:4" ht="15.75" customHeight="1">
      <c r="D997" s="6"/>
    </row>
    <row r="998" spans="4:4" ht="15.75" customHeight="1">
      <c r="D998" s="6"/>
    </row>
    <row r="999" spans="4:4" ht="15.75" customHeight="1">
      <c r="D999" s="6"/>
    </row>
    <row r="1000" spans="4:4" ht="15.75" customHeight="1">
      <c r="D1000" s="6"/>
    </row>
  </sheetData>
  <pageMargins left="0.7" right="0.7" top="0.75" bottom="0.75" header="0.3" footer="0.3"/>
  <headerFooter>
    <oddHeader>&amp;C&amp;"Courier New"&amp;12&amp;K000000 UNCLASSIFIED&amp;1#_x000D_</oddHeader>
    <oddFooter>&amp;C_x000D_&amp;1#&amp;"Courier New"&amp;12&amp;K000000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Data</vt:lpstr>
      <vt:lpstr>SME GWA Task Matrix</vt:lpstr>
      <vt:lpstr>GWA_Scores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Capers, Jonathan M CW2 USARMY (USA)</dc:creator>
  <cp:lastModifiedBy>Katelyn Capers</cp:lastModifiedBy>
  <dcterms:created xsi:type="dcterms:W3CDTF">2026-03-11T17:27:39Z</dcterms:created>
  <dcterms:modified xsi:type="dcterms:W3CDTF">2026-06-11T17:33:28Z</dcterms:modified>
</cp:coreProperties>
</file>